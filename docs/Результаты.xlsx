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late_fixed_in_points_Bubnov\docs\"/>
    </mc:Choice>
  </mc:AlternateContent>
  <xr:revisionPtr revIDLastSave="0" documentId="13_ncr:1_{64177167-A2D0-4AEB-9011-79C04D69ACFA}" xr6:coauthVersionLast="47" xr6:coauthVersionMax="47" xr10:uidLastSave="{00000000-0000-0000-0000-000000000000}"/>
  <bookViews>
    <workbookView xWindow="28680" yWindow="-120" windowWidth="29040" windowHeight="15840" xr2:uid="{A00D6134-50CA-4641-A08D-7241B2DD2D4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6" i="1" l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2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G26" i="1"/>
  <c r="G27" i="1"/>
  <c r="G28" i="1"/>
  <c r="G29" i="1"/>
  <c r="G30" i="1"/>
  <c r="G31" i="1"/>
  <c r="G32" i="1"/>
  <c r="G33" i="1"/>
  <c r="G34" i="1"/>
  <c r="G35" i="1"/>
  <c r="G25" i="1"/>
  <c r="F26" i="1"/>
  <c r="F27" i="1"/>
  <c r="F28" i="1"/>
  <c r="F29" i="1"/>
  <c r="F30" i="1"/>
  <c r="F31" i="1"/>
  <c r="F32" i="1"/>
  <c r="F33" i="1"/>
  <c r="F34" i="1"/>
  <c r="F35" i="1"/>
  <c r="F25" i="1"/>
  <c r="E26" i="1"/>
  <c r="E27" i="1"/>
  <c r="E28" i="1"/>
  <c r="E29" i="1"/>
  <c r="E30" i="1"/>
  <c r="E31" i="1"/>
  <c r="E32" i="1"/>
  <c r="E33" i="1"/>
  <c r="E34" i="1"/>
  <c r="E35" i="1"/>
  <c r="E25" i="1"/>
  <c r="K24" i="1"/>
  <c r="K23" i="1"/>
  <c r="I21" i="1"/>
  <c r="K22" i="1"/>
  <c r="L19" i="1"/>
  <c r="K19" i="1"/>
  <c r="J19" i="1"/>
  <c r="I19" i="1"/>
  <c r="F14" i="1"/>
  <c r="F15" i="1"/>
</calcChain>
</file>

<file path=xl/sharedStrings.xml><?xml version="1.0" encoding="utf-8"?>
<sst xmlns="http://schemas.openxmlformats.org/spreadsheetml/2006/main" count="16" uniqueCount="14">
  <si>
    <t>Номер приближения</t>
  </si>
  <si>
    <t>W, мм</t>
  </si>
  <si>
    <t>Время исполнения, с</t>
  </si>
  <si>
    <t>x</t>
  </si>
  <si>
    <t>y</t>
  </si>
  <si>
    <t>cos(2kπ x/a)</t>
  </si>
  <si>
    <t>a=</t>
  </si>
  <si>
    <t>b=</t>
  </si>
  <si>
    <t>полная</t>
  </si>
  <si>
    <t>только косинус</t>
  </si>
  <si>
    <t>Произведение</t>
  </si>
  <si>
    <t>при k=</t>
  </si>
  <si>
    <t>омега</t>
  </si>
  <si>
    <t>(5-x^2)*x^2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</si>
</sst>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Лист1!$E$24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Лист1!$E$25:$E$75</c:f>
              <c:numCache>
                <c:formatCode>General</c:formatCode>
                <c:ptCount val="5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E2-4688-AF00-70C7FFB5A384}"/>
            </c:ext>
          </c:extLst>
        </c:ser>
        <c:ser>
          <c:idx val="1"/>
          <c:order val="1"/>
          <c:tx>
            <c:strRef>
              <c:f>Лист1!$F$24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Лист1!$F$25:$F$75</c:f>
              <c:numCache>
                <c:formatCode>General</c:formatCode>
                <c:ptCount val="51"/>
                <c:pt idx="0">
                  <c:v>1</c:v>
                </c:pt>
                <c:pt idx="1">
                  <c:v>0.99211470131447788</c:v>
                </c:pt>
                <c:pt idx="2">
                  <c:v>0.96858316112863108</c:v>
                </c:pt>
                <c:pt idx="3">
                  <c:v>0.92977648588825146</c:v>
                </c:pt>
                <c:pt idx="4">
                  <c:v>0.87630668004386358</c:v>
                </c:pt>
                <c:pt idx="5">
                  <c:v>0.80901699437494745</c:v>
                </c:pt>
                <c:pt idx="6">
                  <c:v>0.72896862742141155</c:v>
                </c:pt>
                <c:pt idx="7">
                  <c:v>0.63742398974868975</c:v>
                </c:pt>
                <c:pt idx="8">
                  <c:v>0.53582679497899655</c:v>
                </c:pt>
                <c:pt idx="9">
                  <c:v>0.42577929156507266</c:v>
                </c:pt>
                <c:pt idx="10">
                  <c:v>0.30901699437494745</c:v>
                </c:pt>
                <c:pt idx="11">
                  <c:v>0.18738131458572452</c:v>
                </c:pt>
                <c:pt idx="12">
                  <c:v>6.2790519529313527E-2</c:v>
                </c:pt>
                <c:pt idx="13">
                  <c:v>-6.2790519529313402E-2</c:v>
                </c:pt>
                <c:pt idx="14">
                  <c:v>-0.1873813145857246</c:v>
                </c:pt>
                <c:pt idx="15">
                  <c:v>-0.30901699437494734</c:v>
                </c:pt>
                <c:pt idx="16">
                  <c:v>-0.42577929156507272</c:v>
                </c:pt>
                <c:pt idx="17">
                  <c:v>-0.53582679497899643</c:v>
                </c:pt>
                <c:pt idx="18">
                  <c:v>-0.63742398974868975</c:v>
                </c:pt>
                <c:pt idx="19">
                  <c:v>-0.72896862742141133</c:v>
                </c:pt>
                <c:pt idx="20">
                  <c:v>-0.80901699437494734</c:v>
                </c:pt>
                <c:pt idx="21">
                  <c:v>-0.87630668004386358</c:v>
                </c:pt>
                <c:pt idx="22">
                  <c:v>-0.92977648588825146</c:v>
                </c:pt>
                <c:pt idx="23">
                  <c:v>-0.96858316112863097</c:v>
                </c:pt>
                <c:pt idx="24">
                  <c:v>-0.99211470131447776</c:v>
                </c:pt>
                <c:pt idx="25">
                  <c:v>-1</c:v>
                </c:pt>
                <c:pt idx="26">
                  <c:v>-0.99211470131447788</c:v>
                </c:pt>
                <c:pt idx="27">
                  <c:v>-0.96858316112863119</c:v>
                </c:pt>
                <c:pt idx="28">
                  <c:v>-0.92977648588825146</c:v>
                </c:pt>
                <c:pt idx="29">
                  <c:v>-0.87630668004386369</c:v>
                </c:pt>
                <c:pt idx="30">
                  <c:v>-0.80901699437494756</c:v>
                </c:pt>
                <c:pt idx="31">
                  <c:v>-0.72896862742141155</c:v>
                </c:pt>
                <c:pt idx="32">
                  <c:v>-0.63742398974868952</c:v>
                </c:pt>
                <c:pt idx="33">
                  <c:v>-0.5358267949789971</c:v>
                </c:pt>
                <c:pt idx="34">
                  <c:v>-0.42577929156507294</c:v>
                </c:pt>
                <c:pt idx="35">
                  <c:v>-0.30901699437494756</c:v>
                </c:pt>
                <c:pt idx="36">
                  <c:v>-0.18738131458572463</c:v>
                </c:pt>
                <c:pt idx="37">
                  <c:v>-6.2790519529313207E-2</c:v>
                </c:pt>
                <c:pt idx="38">
                  <c:v>6.2790519529312833E-2</c:v>
                </c:pt>
                <c:pt idx="39">
                  <c:v>0.18738131458572427</c:v>
                </c:pt>
                <c:pt idx="40">
                  <c:v>0.30901699437494723</c:v>
                </c:pt>
                <c:pt idx="41">
                  <c:v>0.42577929156507183</c:v>
                </c:pt>
                <c:pt idx="42">
                  <c:v>0.53582679497899677</c:v>
                </c:pt>
                <c:pt idx="43">
                  <c:v>0.6374239897486893</c:v>
                </c:pt>
                <c:pt idx="44">
                  <c:v>0.72896862742141189</c:v>
                </c:pt>
                <c:pt idx="45">
                  <c:v>0.80901699437494734</c:v>
                </c:pt>
                <c:pt idx="46">
                  <c:v>0.87630668004386314</c:v>
                </c:pt>
                <c:pt idx="47">
                  <c:v>0.92977648588825146</c:v>
                </c:pt>
                <c:pt idx="48">
                  <c:v>0.96858316112863097</c:v>
                </c:pt>
                <c:pt idx="49">
                  <c:v>0.99211470131447788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E2-4688-AF00-70C7FFB5A384}"/>
            </c:ext>
          </c:extLst>
        </c:ser>
        <c:ser>
          <c:idx val="2"/>
          <c:order val="2"/>
          <c:tx>
            <c:strRef>
              <c:f>Лист1!$G$24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Лист1!$G$25:$G$75</c:f>
              <c:numCache>
                <c:formatCode>General</c:formatCode>
                <c:ptCount val="51"/>
                <c:pt idx="0">
                  <c:v>1</c:v>
                </c:pt>
                <c:pt idx="1">
                  <c:v>0.96858316112863108</c:v>
                </c:pt>
                <c:pt idx="2">
                  <c:v>0.87630668004386358</c:v>
                </c:pt>
                <c:pt idx="3">
                  <c:v>0.72896862742141155</c:v>
                </c:pt>
                <c:pt idx="4">
                  <c:v>0.53582679497899655</c:v>
                </c:pt>
                <c:pt idx="5">
                  <c:v>0.30901699437494745</c:v>
                </c:pt>
                <c:pt idx="6">
                  <c:v>6.2790519529313527E-2</c:v>
                </c:pt>
                <c:pt idx="7">
                  <c:v>-0.1873813145857246</c:v>
                </c:pt>
                <c:pt idx="8">
                  <c:v>-0.42577929156507272</c:v>
                </c:pt>
                <c:pt idx="9">
                  <c:v>-0.63742398974868975</c:v>
                </c:pt>
                <c:pt idx="10">
                  <c:v>-0.80901699437494734</c:v>
                </c:pt>
                <c:pt idx="11">
                  <c:v>-0.92977648588825146</c:v>
                </c:pt>
                <c:pt idx="12">
                  <c:v>-0.99211470131447776</c:v>
                </c:pt>
                <c:pt idx="13">
                  <c:v>-0.99211470131447788</c:v>
                </c:pt>
                <c:pt idx="14">
                  <c:v>-0.92977648588825146</c:v>
                </c:pt>
                <c:pt idx="15">
                  <c:v>-0.80901699437494756</c:v>
                </c:pt>
                <c:pt idx="16">
                  <c:v>-0.63742398974868952</c:v>
                </c:pt>
                <c:pt idx="17">
                  <c:v>-0.42577929156507294</c:v>
                </c:pt>
                <c:pt idx="18">
                  <c:v>-0.18738131458572463</c:v>
                </c:pt>
                <c:pt idx="19">
                  <c:v>6.2790519529312833E-2</c:v>
                </c:pt>
                <c:pt idx="20">
                  <c:v>0.30901699437494723</c:v>
                </c:pt>
                <c:pt idx="21">
                  <c:v>0.53582679497899677</c:v>
                </c:pt>
                <c:pt idx="22">
                  <c:v>0.72896862742141189</c:v>
                </c:pt>
                <c:pt idx="23">
                  <c:v>0.87630668004386314</c:v>
                </c:pt>
                <c:pt idx="24">
                  <c:v>0.96858316112863097</c:v>
                </c:pt>
                <c:pt idx="25">
                  <c:v>1</c:v>
                </c:pt>
                <c:pt idx="26">
                  <c:v>0.96858316112863108</c:v>
                </c:pt>
                <c:pt idx="27">
                  <c:v>0.87630668004386381</c:v>
                </c:pt>
                <c:pt idx="28">
                  <c:v>0.72896862742141155</c:v>
                </c:pt>
                <c:pt idx="29">
                  <c:v>0.53582679497899721</c:v>
                </c:pt>
                <c:pt idx="30">
                  <c:v>0.30901699437494773</c:v>
                </c:pt>
                <c:pt idx="31">
                  <c:v>6.2790519529313318E-2</c:v>
                </c:pt>
                <c:pt idx="32">
                  <c:v>-0.18738131458572502</c:v>
                </c:pt>
                <c:pt idx="33">
                  <c:v>-0.42577929156507172</c:v>
                </c:pt>
                <c:pt idx="34">
                  <c:v>-0.63742398974868919</c:v>
                </c:pt>
                <c:pt idx="35">
                  <c:v>-0.80901699437494723</c:v>
                </c:pt>
                <c:pt idx="36">
                  <c:v>-0.92977648588825146</c:v>
                </c:pt>
                <c:pt idx="37">
                  <c:v>-0.99211470131447788</c:v>
                </c:pt>
                <c:pt idx="38">
                  <c:v>-0.99211470131447799</c:v>
                </c:pt>
                <c:pt idx="39">
                  <c:v>-0.92977648588825168</c:v>
                </c:pt>
                <c:pt idx="40">
                  <c:v>-0.80901699437494767</c:v>
                </c:pt>
                <c:pt idx="41">
                  <c:v>-0.63742398974869108</c:v>
                </c:pt>
                <c:pt idx="42">
                  <c:v>-0.42577929156507238</c:v>
                </c:pt>
                <c:pt idx="43">
                  <c:v>-0.18738131458572574</c:v>
                </c:pt>
                <c:pt idx="44">
                  <c:v>6.2790519529314359E-2</c:v>
                </c:pt>
                <c:pt idx="45">
                  <c:v>0.30901699437494701</c:v>
                </c:pt>
                <c:pt idx="46">
                  <c:v>0.53582679497899499</c:v>
                </c:pt>
                <c:pt idx="47">
                  <c:v>0.72896862742141166</c:v>
                </c:pt>
                <c:pt idx="48">
                  <c:v>0.87630668004386303</c:v>
                </c:pt>
                <c:pt idx="49">
                  <c:v>0.9685831611286313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E2-4688-AF00-70C7FFB5A384}"/>
            </c:ext>
          </c:extLst>
        </c:ser>
        <c:ser>
          <c:idx val="3"/>
          <c:order val="3"/>
          <c:tx>
            <c:strRef>
              <c:f>Лист1!$I$24</c:f>
              <c:strCache>
                <c:ptCount val="1"/>
                <c:pt idx="0">
                  <c:v>омега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Лист1!$I$25:$I$75</c:f>
              <c:numCache>
                <c:formatCode>General</c:formatCode>
                <c:ptCount val="51"/>
                <c:pt idx="0">
                  <c:v>1</c:v>
                </c:pt>
                <c:pt idx="1">
                  <c:v>1.003942649342761</c:v>
                </c:pt>
                <c:pt idx="2">
                  <c:v>1.0157084194356845</c:v>
                </c:pt>
                <c:pt idx="3">
                  <c:v>1.0351117570558743</c:v>
                </c:pt>
                <c:pt idx="4">
                  <c:v>1.0618466599780683</c:v>
                </c:pt>
                <c:pt idx="5">
                  <c:v>1.0954915028125263</c:v>
                </c:pt>
                <c:pt idx="6">
                  <c:v>1.1355156862892941</c:v>
                </c:pt>
                <c:pt idx="7">
                  <c:v>1.1812880051256551</c:v>
                </c:pt>
                <c:pt idx="8">
                  <c:v>1.2320866025105017</c:v>
                </c:pt>
                <c:pt idx="9">
                  <c:v>1.2871103542174638</c:v>
                </c:pt>
                <c:pt idx="10">
                  <c:v>1.3454915028125263</c:v>
                </c:pt>
                <c:pt idx="11">
                  <c:v>1.4063093427071378</c:v>
                </c:pt>
                <c:pt idx="12">
                  <c:v>1.4686047402353433</c:v>
                </c:pt>
                <c:pt idx="13">
                  <c:v>1.5313952597646567</c:v>
                </c:pt>
                <c:pt idx="14">
                  <c:v>1.5936906572928624</c:v>
                </c:pt>
                <c:pt idx="15">
                  <c:v>1.6545084971874737</c:v>
                </c:pt>
                <c:pt idx="16">
                  <c:v>1.7128896457825364</c:v>
                </c:pt>
                <c:pt idx="17">
                  <c:v>1.7679133974894983</c:v>
                </c:pt>
                <c:pt idx="18">
                  <c:v>1.8187119948743451</c:v>
                </c:pt>
                <c:pt idx="19">
                  <c:v>1.8644843137107057</c:v>
                </c:pt>
                <c:pt idx="20">
                  <c:v>1.9045084971874737</c:v>
                </c:pt>
                <c:pt idx="21">
                  <c:v>1.9381533400219317</c:v>
                </c:pt>
                <c:pt idx="22">
                  <c:v>1.9648882429441259</c:v>
                </c:pt>
                <c:pt idx="23">
                  <c:v>1.9842915805643155</c:v>
                </c:pt>
                <c:pt idx="24">
                  <c:v>1.9960573506572388</c:v>
                </c:pt>
                <c:pt idx="25">
                  <c:v>2</c:v>
                </c:pt>
                <c:pt idx="26">
                  <c:v>1.9960573506572388</c:v>
                </c:pt>
                <c:pt idx="27">
                  <c:v>1.9842915805643155</c:v>
                </c:pt>
                <c:pt idx="28">
                  <c:v>1.9648882429441259</c:v>
                </c:pt>
                <c:pt idx="29">
                  <c:v>1.938153340021932</c:v>
                </c:pt>
                <c:pt idx="30">
                  <c:v>1.9045084971874737</c:v>
                </c:pt>
                <c:pt idx="31">
                  <c:v>1.8644843137107057</c:v>
                </c:pt>
                <c:pt idx="32">
                  <c:v>1.8187119948743447</c:v>
                </c:pt>
                <c:pt idx="33">
                  <c:v>1.7679133974894985</c:v>
                </c:pt>
                <c:pt idx="34">
                  <c:v>1.7128896457825364</c:v>
                </c:pt>
                <c:pt idx="35">
                  <c:v>1.6545084971874737</c:v>
                </c:pt>
                <c:pt idx="36">
                  <c:v>1.5936906572928624</c:v>
                </c:pt>
                <c:pt idx="37">
                  <c:v>1.5313952597646565</c:v>
                </c:pt>
                <c:pt idx="38">
                  <c:v>1.4686047402353435</c:v>
                </c:pt>
                <c:pt idx="39">
                  <c:v>1.4063093427071378</c:v>
                </c:pt>
                <c:pt idx="40">
                  <c:v>1.3454915028125265</c:v>
                </c:pt>
                <c:pt idx="41">
                  <c:v>1.287110354217464</c:v>
                </c:pt>
                <c:pt idx="42">
                  <c:v>1.2320866025105017</c:v>
                </c:pt>
                <c:pt idx="43">
                  <c:v>1.1812880051256553</c:v>
                </c:pt>
                <c:pt idx="44">
                  <c:v>1.1355156862892941</c:v>
                </c:pt>
                <c:pt idx="45">
                  <c:v>1.0954915028125263</c:v>
                </c:pt>
                <c:pt idx="46">
                  <c:v>1.0618466599780685</c:v>
                </c:pt>
                <c:pt idx="47">
                  <c:v>1.0351117570558743</c:v>
                </c:pt>
                <c:pt idx="48">
                  <c:v>1.0157084194356845</c:v>
                </c:pt>
                <c:pt idx="49">
                  <c:v>1.003942649342761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E2-4688-AF00-70C7FFB5A384}"/>
            </c:ext>
          </c:extLst>
        </c:ser>
        <c:ser>
          <c:idx val="4"/>
          <c:order val="4"/>
          <c:tx>
            <c:strRef>
              <c:f>Лист1!$J$24</c:f>
              <c:strCache>
                <c:ptCount val="1"/>
                <c:pt idx="0">
                  <c:v>Произведение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Лист1!$D$25:$D$75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Лист1!$J$25:$J$75</c:f>
              <c:numCache>
                <c:formatCode>General</c:formatCode>
                <c:ptCount val="51"/>
                <c:pt idx="0">
                  <c:v>1</c:v>
                </c:pt>
                <c:pt idx="1">
                  <c:v>0.97240194489226428</c:v>
                </c:pt>
                <c:pt idx="2">
                  <c:v>0.89007207292828472</c:v>
                </c:pt>
                <c:pt idx="3">
                  <c:v>0.75456399676878627</c:v>
                </c:pt>
                <c:pt idx="4">
                  <c:v>0.56896589257520069</c:v>
                </c:pt>
                <c:pt idx="5">
                  <c:v>0.33852549156242118</c:v>
                </c:pt>
                <c:pt idx="6">
                  <c:v>7.1299619875789769E-2</c:v>
                </c:pt>
                <c:pt idx="7">
                  <c:v>-0.22135129930479344</c:v>
                </c:pt>
                <c:pt idx="8">
                  <c:v>-0.52459696076373874</c:v>
                </c:pt>
                <c:pt idx="9">
                  <c:v>-0.82043501723214507</c:v>
                </c:pt>
                <c:pt idx="10">
                  <c:v>-1.088525491562421</c:v>
                </c:pt>
                <c:pt idx="11">
                  <c:v>-1.3075533587340593</c:v>
                </c:pt>
                <c:pt idx="12">
                  <c:v>-1.4570243532076137</c:v>
                </c:pt>
                <c:pt idx="13">
                  <c:v>-1.5193197507358196</c:v>
                </c:pt>
                <c:pt idx="14">
                  <c:v>-1.4817760989306952</c:v>
                </c:pt>
                <c:pt idx="15">
                  <c:v>-1.3385254915624214</c:v>
                </c:pt>
                <c:pt idx="16">
                  <c:v>-1.0918369520139239</c:v>
                </c:pt>
                <c:pt idx="17">
                  <c:v>-0.75274091393147979</c:v>
                </c:pt>
                <c:pt idx="18">
                  <c:v>-0.34079264445238044</c:v>
                </c:pt>
                <c:pt idx="19">
                  <c:v>0.11707193871214949</c:v>
                </c:pt>
                <c:pt idx="20">
                  <c:v>0.58852549156242073</c:v>
                </c:pt>
                <c:pt idx="21">
                  <c:v>1.0385144923617895</c:v>
                </c:pt>
                <c:pt idx="22">
                  <c:v>1.4323418854954491</c:v>
                </c:pt>
                <c:pt idx="23">
                  <c:v>1.738847967203305</c:v>
                </c:pt>
                <c:pt idx="24">
                  <c:v>1.9333475384936285</c:v>
                </c:pt>
                <c:pt idx="25">
                  <c:v>2</c:v>
                </c:pt>
                <c:pt idx="26">
                  <c:v>1.9333475384936287</c:v>
                </c:pt>
                <c:pt idx="27">
                  <c:v>1.7388479672033064</c:v>
                </c:pt>
                <c:pt idx="28">
                  <c:v>1.4323418854954484</c:v>
                </c:pt>
                <c:pt idx="29">
                  <c:v>1.0385144923617904</c:v>
                </c:pt>
                <c:pt idx="30">
                  <c:v>0.58852549156242173</c:v>
                </c:pt>
                <c:pt idx="31">
                  <c:v>0.11707193871215041</c:v>
                </c:pt>
                <c:pt idx="32">
                  <c:v>-0.34079264445238105</c:v>
                </c:pt>
                <c:pt idx="33">
                  <c:v>-0.75274091393147768</c:v>
                </c:pt>
                <c:pt idx="34">
                  <c:v>-1.0918369520139233</c:v>
                </c:pt>
                <c:pt idx="35">
                  <c:v>-1.3385254915624207</c:v>
                </c:pt>
                <c:pt idx="36">
                  <c:v>-1.4817760989306952</c:v>
                </c:pt>
                <c:pt idx="37">
                  <c:v>-1.5193197507358194</c:v>
                </c:pt>
                <c:pt idx="38">
                  <c:v>-1.4570243532076144</c:v>
                </c:pt>
                <c:pt idx="39">
                  <c:v>-1.3075533587340595</c:v>
                </c:pt>
                <c:pt idx="40">
                  <c:v>-1.0885254915624216</c:v>
                </c:pt>
                <c:pt idx="41">
                  <c:v>-0.82043501723214696</c:v>
                </c:pt>
                <c:pt idx="42">
                  <c:v>-0.52459696076373841</c:v>
                </c:pt>
                <c:pt idx="43">
                  <c:v>-0.22135129930479483</c:v>
                </c:pt>
                <c:pt idx="44">
                  <c:v>7.1299619875790726E-2</c:v>
                </c:pt>
                <c:pt idx="45">
                  <c:v>0.33852549156242068</c:v>
                </c:pt>
                <c:pt idx="46">
                  <c:v>0.56896589257519914</c:v>
                </c:pt>
                <c:pt idx="47">
                  <c:v>0.75456399676878638</c:v>
                </c:pt>
                <c:pt idx="48">
                  <c:v>0.89007207292828416</c:v>
                </c:pt>
                <c:pt idx="49">
                  <c:v>0.9724019448922645</c:v>
                </c:pt>
                <c:pt idx="5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E2-4688-AF00-70C7FFB5A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841232"/>
        <c:axId val="413841712"/>
      </c:scatterChart>
      <c:valAx>
        <c:axId val="41384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3841712"/>
        <c:crosses val="autoZero"/>
        <c:crossBetween val="midCat"/>
      </c:valAx>
      <c:valAx>
        <c:axId val="41384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3841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2</xdr:row>
      <xdr:rowOff>133350</xdr:rowOff>
    </xdr:from>
    <xdr:to>
      <xdr:col>12</xdr:col>
      <xdr:colOff>552684</xdr:colOff>
      <xdr:row>9</xdr:row>
      <xdr:rowOff>66877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7FB3187-D9D9-702A-94A0-DF83C47CE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1850" y="514350"/>
          <a:ext cx="1676634" cy="1448002"/>
        </a:xfrm>
        <a:prstGeom prst="rect">
          <a:avLst/>
        </a:prstGeom>
      </xdr:spPr>
    </xdr:pic>
    <xdr:clientData/>
  </xdr:twoCellAnchor>
  <xdr:twoCellAnchor>
    <xdr:from>
      <xdr:col>16</xdr:col>
      <xdr:colOff>209550</xdr:colOff>
      <xdr:row>23</xdr:row>
      <xdr:rowOff>100012</xdr:rowOff>
    </xdr:from>
    <xdr:to>
      <xdr:col>23</xdr:col>
      <xdr:colOff>514350</xdr:colOff>
      <xdr:row>37</xdr:row>
      <xdr:rowOff>176212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3675A55-C58C-124D-8C82-EF13FE22DA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8A70A-55C4-4BDD-8869-B9E67984A2E7}">
  <dimension ref="C2:M75"/>
  <sheetViews>
    <sheetView tabSelected="1" workbookViewId="0">
      <selection activeCell="O47" sqref="O47"/>
    </sheetView>
  </sheetViews>
  <sheetFormatPr defaultRowHeight="15" x14ac:dyDescent="0.25"/>
  <cols>
    <col min="3" max="3" width="16.7109375" customWidth="1"/>
    <col min="5" max="5" width="13.5703125" customWidth="1"/>
    <col min="6" max="6" width="12" bestFit="1" customWidth="1"/>
  </cols>
  <sheetData>
    <row r="2" spans="3:8" x14ac:dyDescent="0.25">
      <c r="D2" s="2" t="s">
        <v>8</v>
      </c>
      <c r="E2" s="2"/>
      <c r="G2" s="2" t="s">
        <v>9</v>
      </c>
      <c r="H2" s="2"/>
    </row>
    <row r="4" spans="3:8" ht="29.25" customHeight="1" x14ac:dyDescent="0.25">
      <c r="C4" s="1" t="s">
        <v>0</v>
      </c>
      <c r="D4" t="s">
        <v>1</v>
      </c>
      <c r="E4" s="1" t="s">
        <v>2</v>
      </c>
    </row>
    <row r="5" spans="3:8" x14ac:dyDescent="0.25">
      <c r="C5">
        <v>0</v>
      </c>
      <c r="D5">
        <v>2.0299999999999998</v>
      </c>
      <c r="E5">
        <v>8</v>
      </c>
      <c r="G5">
        <v>2.0030000000000001</v>
      </c>
      <c r="H5">
        <v>0.5</v>
      </c>
    </row>
    <row r="6" spans="3:8" x14ac:dyDescent="0.25">
      <c r="C6">
        <v>1</v>
      </c>
      <c r="D6">
        <v>2.1949999999999998</v>
      </c>
      <c r="E6">
        <v>194</v>
      </c>
      <c r="G6">
        <v>1.87</v>
      </c>
      <c r="H6">
        <v>1.99</v>
      </c>
    </row>
    <row r="7" spans="3:8" x14ac:dyDescent="0.25">
      <c r="C7">
        <v>2</v>
      </c>
      <c r="D7">
        <v>2.2599999999999998</v>
      </c>
      <c r="E7">
        <v>1176</v>
      </c>
      <c r="G7">
        <v>1.85</v>
      </c>
      <c r="H7">
        <v>64.599999999999994</v>
      </c>
    </row>
    <row r="8" spans="3:8" x14ac:dyDescent="0.25">
      <c r="C8">
        <v>3</v>
      </c>
      <c r="E8">
        <v>4186</v>
      </c>
    </row>
    <row r="14" spans="3:8" x14ac:dyDescent="0.25">
      <c r="F14">
        <f>0.00038100406+0.00067779155 +0.000513482687+0.00129389198+0.00000528426886+0.000065006888+0.00000685906948 +0.0000796075955+0.0000157854073+0.0000183433606+0.000105377597 +0.000145374117+0.000000156085352+0.0000029907514 +0.000001209374 +0.0000187531754</f>
        <v>3.3309179668920006E-3</v>
      </c>
    </row>
    <row r="15" spans="3:8" x14ac:dyDescent="0.25">
      <c r="F15">
        <f>F14*1000</f>
        <v>3.3309179668920006</v>
      </c>
    </row>
    <row r="19" spans="3:13" x14ac:dyDescent="0.25">
      <c r="F19" t="s">
        <v>3</v>
      </c>
      <c r="G19">
        <v>2.5</v>
      </c>
      <c r="I19">
        <f>(SIN(0.628318530717959*G19) + SIN(0.523598775598299*G20))^2*SIN(0.628318530717959*G19)*SIN(0.523598775598299*G20)</f>
        <v>4</v>
      </c>
      <c r="J19">
        <f>(SIN(0.628318530717959*G19) + SIN(0.523598775598299*G20))^2*SIN(0.628318530717959*G19)</f>
        <v>4</v>
      </c>
      <c r="K19">
        <f>(SIN(0.628318530717959*G19) + SIN(0.523598775598299*G20))^2*SIN(0.523598775598299*G20)</f>
        <v>4</v>
      </c>
      <c r="L19">
        <f>(SIN(0.628318530717959*G19) + SIN(0.523598775598299*G20))^2</f>
        <v>4</v>
      </c>
    </row>
    <row r="20" spans="3:13" x14ac:dyDescent="0.25">
      <c r="C20" t="s">
        <v>6</v>
      </c>
      <c r="D20">
        <v>5</v>
      </c>
      <c r="F20" t="s">
        <v>4</v>
      </c>
      <c r="G20">
        <v>3</v>
      </c>
    </row>
    <row r="21" spans="3:13" x14ac:dyDescent="0.25">
      <c r="C21" t="s">
        <v>7</v>
      </c>
      <c r="D21">
        <v>6</v>
      </c>
      <c r="I21">
        <f>(SIN(0.628318530717959*G19) + SIN(0.523598775598299*G20))^2*SIN(0.628318530717959*G19)*SIN(1.5707963267949*G20)</f>
        <v>-4</v>
      </c>
    </row>
    <row r="22" spans="3:13" x14ac:dyDescent="0.25">
      <c r="F22" t="s">
        <v>5</v>
      </c>
      <c r="K22">
        <f>SIN(0.628318530717959*2.5)</f>
        <v>1</v>
      </c>
    </row>
    <row r="23" spans="3:13" x14ac:dyDescent="0.25">
      <c r="E23" s="2" t="s">
        <v>11</v>
      </c>
      <c r="F23" s="2"/>
      <c r="G23" s="2"/>
      <c r="K23">
        <f>(SIN(0.628318530717959*G19) + SIN(0.523598775598299*G20))^2*SIN(1.88495559215388*G19)*SIN(0.523598775598299*G20)</f>
        <v>-4</v>
      </c>
    </row>
    <row r="24" spans="3:13" x14ac:dyDescent="0.25">
      <c r="C24" t="s">
        <v>4</v>
      </c>
      <c r="D24" t="s">
        <v>3</v>
      </c>
      <c r="E24">
        <v>0</v>
      </c>
      <c r="F24">
        <v>1</v>
      </c>
      <c r="G24">
        <v>2</v>
      </c>
      <c r="I24" t="s">
        <v>12</v>
      </c>
      <c r="J24" t="s">
        <v>10</v>
      </c>
      <c r="K24">
        <f>(SIN(0.628318530717959*G19) + SIN(0.523598775598299*G20))^2*COS(1.25663706143592*G19)</f>
        <v>-4</v>
      </c>
      <c r="M24" t="s">
        <v>13</v>
      </c>
    </row>
    <row r="25" spans="3:13" x14ac:dyDescent="0.25">
      <c r="C25">
        <f>$D$21/2</f>
        <v>3</v>
      </c>
      <c r="D25">
        <v>0</v>
      </c>
      <c r="E25">
        <f>COS(2*$E$24*PI()*D25 /$D$20)</f>
        <v>1</v>
      </c>
      <c r="F25">
        <f>COS(2*$F$24*PI()*D25 /$D$20)</f>
        <v>1</v>
      </c>
      <c r="G25">
        <f>COS(2*$G$24*PI()*D25 /$D$20)</f>
        <v>1</v>
      </c>
      <c r="I25">
        <f>((SIN(PI() * D25 / $D$20) )^2+ (SIN(PI()*C25 / $D$21))^2)</f>
        <v>1</v>
      </c>
      <c r="J25">
        <f>G25*I25</f>
        <v>1</v>
      </c>
      <c r="M25">
        <f>($D$20-D25)^2*D25^2</f>
        <v>0</v>
      </c>
    </row>
    <row r="26" spans="3:13" x14ac:dyDescent="0.25">
      <c r="C26">
        <f t="shared" ref="C26:C75" si="0">$D$21/2</f>
        <v>3</v>
      </c>
      <c r="D26">
        <v>0.1</v>
      </c>
      <c r="E26">
        <f t="shared" ref="E26:F35" si="1">COS(2*$E$24*PI()*D26 /$D$20)</f>
        <v>1</v>
      </c>
      <c r="F26">
        <f t="shared" ref="F26:F75" si="2">COS(2*$F$24*PI()*D26 /$D$20)</f>
        <v>0.99211470131447788</v>
      </c>
      <c r="G26">
        <f t="shared" ref="G26:G75" si="3">COS(2*$G$24*PI()*D26 /$D$20)</f>
        <v>0.96858316112863108</v>
      </c>
      <c r="I26">
        <f t="shared" ref="I26:I75" si="4">((SIN(PI() * D26 / $D$20) )^2+ (SIN(PI()*C26 / $D$21))^2)</f>
        <v>1.003942649342761</v>
      </c>
      <c r="J26">
        <f t="shared" ref="J26:J75" si="5">G26*I26</f>
        <v>0.97240194489226428</v>
      </c>
      <c r="M26">
        <f t="shared" ref="M26:M75" si="6">($D$20-D26)^2*D26^2</f>
        <v>0.24010000000000009</v>
      </c>
    </row>
    <row r="27" spans="3:13" x14ac:dyDescent="0.25">
      <c r="C27">
        <f t="shared" si="0"/>
        <v>3</v>
      </c>
      <c r="D27">
        <v>0.2</v>
      </c>
      <c r="E27">
        <f t="shared" si="1"/>
        <v>1</v>
      </c>
      <c r="F27">
        <f t="shared" si="2"/>
        <v>0.96858316112863108</v>
      </c>
      <c r="G27">
        <f t="shared" si="3"/>
        <v>0.87630668004386358</v>
      </c>
      <c r="I27">
        <f t="shared" si="4"/>
        <v>1.0157084194356845</v>
      </c>
      <c r="J27">
        <f t="shared" si="5"/>
        <v>0.89007207292828472</v>
      </c>
      <c r="M27">
        <f t="shared" si="6"/>
        <v>0.9216000000000002</v>
      </c>
    </row>
    <row r="28" spans="3:13" x14ac:dyDescent="0.25">
      <c r="C28">
        <f t="shared" si="0"/>
        <v>3</v>
      </c>
      <c r="D28">
        <v>0.3</v>
      </c>
      <c r="E28">
        <f t="shared" si="1"/>
        <v>1</v>
      </c>
      <c r="F28">
        <f t="shared" si="2"/>
        <v>0.92977648588825146</v>
      </c>
      <c r="G28">
        <f t="shared" si="3"/>
        <v>0.72896862742141155</v>
      </c>
      <c r="I28">
        <f t="shared" si="4"/>
        <v>1.0351117570558743</v>
      </c>
      <c r="J28">
        <f t="shared" si="5"/>
        <v>0.75456399676878627</v>
      </c>
      <c r="M28">
        <f t="shared" si="6"/>
        <v>1.9881000000000002</v>
      </c>
    </row>
    <row r="29" spans="3:13" x14ac:dyDescent="0.25">
      <c r="C29">
        <f t="shared" si="0"/>
        <v>3</v>
      </c>
      <c r="D29">
        <v>0.4</v>
      </c>
      <c r="E29">
        <f t="shared" si="1"/>
        <v>1</v>
      </c>
      <c r="F29">
        <f t="shared" si="2"/>
        <v>0.87630668004386358</v>
      </c>
      <c r="G29">
        <f t="shared" si="3"/>
        <v>0.53582679497899655</v>
      </c>
      <c r="I29">
        <f t="shared" si="4"/>
        <v>1.0618466599780683</v>
      </c>
      <c r="J29">
        <f t="shared" si="5"/>
        <v>0.56896589257520069</v>
      </c>
      <c r="M29">
        <f t="shared" si="6"/>
        <v>3.3856000000000002</v>
      </c>
    </row>
    <row r="30" spans="3:13" x14ac:dyDescent="0.25">
      <c r="C30">
        <f t="shared" si="0"/>
        <v>3</v>
      </c>
      <c r="D30">
        <v>0.5</v>
      </c>
      <c r="E30">
        <f t="shared" si="1"/>
        <v>1</v>
      </c>
      <c r="F30">
        <f t="shared" si="2"/>
        <v>0.80901699437494745</v>
      </c>
      <c r="G30">
        <f t="shared" si="3"/>
        <v>0.30901699437494745</v>
      </c>
      <c r="I30">
        <f t="shared" si="4"/>
        <v>1.0954915028125263</v>
      </c>
      <c r="J30">
        <f t="shared" si="5"/>
        <v>0.33852549156242118</v>
      </c>
      <c r="M30">
        <f t="shared" si="6"/>
        <v>5.0625</v>
      </c>
    </row>
    <row r="31" spans="3:13" x14ac:dyDescent="0.25">
      <c r="C31">
        <f t="shared" si="0"/>
        <v>3</v>
      </c>
      <c r="D31">
        <v>0.6</v>
      </c>
      <c r="E31">
        <f t="shared" si="1"/>
        <v>1</v>
      </c>
      <c r="F31">
        <f t="shared" si="2"/>
        <v>0.72896862742141155</v>
      </c>
      <c r="G31">
        <f t="shared" si="3"/>
        <v>6.2790519529313527E-2</v>
      </c>
      <c r="I31">
        <f t="shared" si="4"/>
        <v>1.1355156862892941</v>
      </c>
      <c r="J31">
        <f t="shared" si="5"/>
        <v>7.1299619875789769E-2</v>
      </c>
      <c r="M31">
        <f t="shared" si="6"/>
        <v>6.9696000000000007</v>
      </c>
    </row>
    <row r="32" spans="3:13" x14ac:dyDescent="0.25">
      <c r="C32">
        <f t="shared" si="0"/>
        <v>3</v>
      </c>
      <c r="D32">
        <v>0.7</v>
      </c>
      <c r="E32">
        <f t="shared" si="1"/>
        <v>1</v>
      </c>
      <c r="F32">
        <f t="shared" si="2"/>
        <v>0.63742398974868975</v>
      </c>
      <c r="G32">
        <f t="shared" si="3"/>
        <v>-0.1873813145857246</v>
      </c>
      <c r="I32">
        <f t="shared" si="4"/>
        <v>1.1812880051256551</v>
      </c>
      <c r="J32">
        <f t="shared" si="5"/>
        <v>-0.22135129930479344</v>
      </c>
      <c r="M32">
        <f t="shared" si="6"/>
        <v>9.0600999999999985</v>
      </c>
    </row>
    <row r="33" spans="3:13" x14ac:dyDescent="0.25">
      <c r="C33">
        <f t="shared" si="0"/>
        <v>3</v>
      </c>
      <c r="D33">
        <v>0.8</v>
      </c>
      <c r="E33">
        <f t="shared" si="1"/>
        <v>1</v>
      </c>
      <c r="F33">
        <f t="shared" si="2"/>
        <v>0.53582679497899655</v>
      </c>
      <c r="G33">
        <f t="shared" si="3"/>
        <v>-0.42577929156507272</v>
      </c>
      <c r="I33">
        <f t="shared" si="4"/>
        <v>1.2320866025105017</v>
      </c>
      <c r="J33">
        <f t="shared" si="5"/>
        <v>-0.52459696076373874</v>
      </c>
      <c r="M33">
        <f t="shared" si="6"/>
        <v>11.289600000000002</v>
      </c>
    </row>
    <row r="34" spans="3:13" x14ac:dyDescent="0.25">
      <c r="C34">
        <f t="shared" si="0"/>
        <v>3</v>
      </c>
      <c r="D34">
        <v>0.9</v>
      </c>
      <c r="E34">
        <f t="shared" si="1"/>
        <v>1</v>
      </c>
      <c r="F34">
        <f t="shared" si="2"/>
        <v>0.42577929156507266</v>
      </c>
      <c r="G34">
        <f t="shared" si="3"/>
        <v>-0.63742398974868975</v>
      </c>
      <c r="I34">
        <f t="shared" si="4"/>
        <v>1.2871103542174638</v>
      </c>
      <c r="J34">
        <f t="shared" si="5"/>
        <v>-0.82043501723214507</v>
      </c>
      <c r="M34">
        <f t="shared" si="6"/>
        <v>13.616099999999999</v>
      </c>
    </row>
    <row r="35" spans="3:13" x14ac:dyDescent="0.25">
      <c r="C35">
        <f t="shared" si="0"/>
        <v>3</v>
      </c>
      <c r="D35">
        <v>1</v>
      </c>
      <c r="E35">
        <f t="shared" si="1"/>
        <v>1</v>
      </c>
      <c r="F35">
        <f t="shared" si="2"/>
        <v>0.30901699437494745</v>
      </c>
      <c r="G35">
        <f t="shared" si="3"/>
        <v>-0.80901699437494734</v>
      </c>
      <c r="I35">
        <f t="shared" si="4"/>
        <v>1.3454915028125263</v>
      </c>
      <c r="J35">
        <f t="shared" si="5"/>
        <v>-1.088525491562421</v>
      </c>
      <c r="M35">
        <f t="shared" si="6"/>
        <v>16</v>
      </c>
    </row>
    <row r="36" spans="3:13" x14ac:dyDescent="0.25">
      <c r="C36">
        <f t="shared" si="0"/>
        <v>3</v>
      </c>
      <c r="D36">
        <v>1.1000000000000001</v>
      </c>
      <c r="E36">
        <f t="shared" ref="E36" si="7">COS(2*$E$24*PI()*D36 /$D$20)</f>
        <v>1</v>
      </c>
      <c r="F36">
        <f t="shared" si="2"/>
        <v>0.18738131458572452</v>
      </c>
      <c r="G36">
        <f t="shared" si="3"/>
        <v>-0.92977648588825146</v>
      </c>
      <c r="I36">
        <f t="shared" si="4"/>
        <v>1.4063093427071378</v>
      </c>
      <c r="J36">
        <f t="shared" si="5"/>
        <v>-1.3075533587340593</v>
      </c>
      <c r="M36">
        <f t="shared" si="6"/>
        <v>18.404100000000003</v>
      </c>
    </row>
    <row r="37" spans="3:13" x14ac:dyDescent="0.25">
      <c r="C37">
        <f t="shared" si="0"/>
        <v>3</v>
      </c>
      <c r="D37">
        <v>1.2</v>
      </c>
      <c r="E37">
        <f t="shared" ref="E37" si="8">COS(2*$E$24*PI()*D37 /$D$20)</f>
        <v>1</v>
      </c>
      <c r="F37">
        <f t="shared" si="2"/>
        <v>6.2790519529313527E-2</v>
      </c>
      <c r="G37">
        <f t="shared" si="3"/>
        <v>-0.99211470131447776</v>
      </c>
      <c r="I37">
        <f t="shared" si="4"/>
        <v>1.4686047402353433</v>
      </c>
      <c r="J37">
        <f t="shared" si="5"/>
        <v>-1.4570243532076137</v>
      </c>
      <c r="M37">
        <f t="shared" si="6"/>
        <v>20.793599999999998</v>
      </c>
    </row>
    <row r="38" spans="3:13" x14ac:dyDescent="0.25">
      <c r="C38">
        <f t="shared" si="0"/>
        <v>3</v>
      </c>
      <c r="D38">
        <v>1.3</v>
      </c>
      <c r="E38">
        <f t="shared" ref="E38" si="9">COS(2*$E$24*PI()*D38 /$D$20)</f>
        <v>1</v>
      </c>
      <c r="F38">
        <f t="shared" si="2"/>
        <v>-6.2790519529313402E-2</v>
      </c>
      <c r="G38">
        <f t="shared" si="3"/>
        <v>-0.99211470131447788</v>
      </c>
      <c r="I38">
        <f t="shared" si="4"/>
        <v>1.5313952597646567</v>
      </c>
      <c r="J38">
        <f t="shared" si="5"/>
        <v>-1.5193197507358196</v>
      </c>
      <c r="M38">
        <f t="shared" si="6"/>
        <v>23.136100000000006</v>
      </c>
    </row>
    <row r="39" spans="3:13" x14ac:dyDescent="0.25">
      <c r="C39">
        <f t="shared" si="0"/>
        <v>3</v>
      </c>
      <c r="D39">
        <v>1.4</v>
      </c>
      <c r="E39">
        <f t="shared" ref="E39" si="10">COS(2*$E$24*PI()*D39 /$D$20)</f>
        <v>1</v>
      </c>
      <c r="F39">
        <f t="shared" si="2"/>
        <v>-0.1873813145857246</v>
      </c>
      <c r="G39">
        <f t="shared" si="3"/>
        <v>-0.92977648588825146</v>
      </c>
      <c r="I39">
        <f t="shared" si="4"/>
        <v>1.5936906572928624</v>
      </c>
      <c r="J39">
        <f t="shared" si="5"/>
        <v>-1.4817760989306952</v>
      </c>
      <c r="M39">
        <f t="shared" si="6"/>
        <v>25.401599999999998</v>
      </c>
    </row>
    <row r="40" spans="3:13" x14ac:dyDescent="0.25">
      <c r="C40">
        <f t="shared" si="0"/>
        <v>3</v>
      </c>
      <c r="D40">
        <v>1.5</v>
      </c>
      <c r="E40">
        <f t="shared" ref="E40" si="11">COS(2*$E$24*PI()*D40 /$D$20)</f>
        <v>1</v>
      </c>
      <c r="F40">
        <f t="shared" si="2"/>
        <v>-0.30901699437494734</v>
      </c>
      <c r="G40">
        <f t="shared" si="3"/>
        <v>-0.80901699437494756</v>
      </c>
      <c r="I40">
        <f t="shared" si="4"/>
        <v>1.6545084971874737</v>
      </c>
      <c r="J40">
        <f t="shared" si="5"/>
        <v>-1.3385254915624214</v>
      </c>
      <c r="M40">
        <f t="shared" si="6"/>
        <v>27.5625</v>
      </c>
    </row>
    <row r="41" spans="3:13" x14ac:dyDescent="0.25">
      <c r="C41">
        <f t="shared" si="0"/>
        <v>3</v>
      </c>
      <c r="D41">
        <v>1.6</v>
      </c>
      <c r="E41">
        <f t="shared" ref="E41" si="12">COS(2*$E$24*PI()*D41 /$D$20)</f>
        <v>1</v>
      </c>
      <c r="F41">
        <f t="shared" si="2"/>
        <v>-0.42577929156507272</v>
      </c>
      <c r="G41">
        <f t="shared" si="3"/>
        <v>-0.63742398974868952</v>
      </c>
      <c r="I41">
        <f t="shared" si="4"/>
        <v>1.7128896457825364</v>
      </c>
      <c r="J41">
        <f t="shared" si="5"/>
        <v>-1.0918369520139239</v>
      </c>
      <c r="M41">
        <f t="shared" si="6"/>
        <v>29.593600000000002</v>
      </c>
    </row>
    <row r="42" spans="3:13" x14ac:dyDescent="0.25">
      <c r="C42">
        <f t="shared" si="0"/>
        <v>3</v>
      </c>
      <c r="D42">
        <v>1.7</v>
      </c>
      <c r="E42">
        <f t="shared" ref="E42" si="13">COS(2*$E$24*PI()*D42 /$D$20)</f>
        <v>1</v>
      </c>
      <c r="F42">
        <f t="shared" si="2"/>
        <v>-0.53582679497899643</v>
      </c>
      <c r="G42">
        <f t="shared" si="3"/>
        <v>-0.42577929156507294</v>
      </c>
      <c r="I42">
        <f t="shared" si="4"/>
        <v>1.7679133974894983</v>
      </c>
      <c r="J42">
        <f t="shared" si="5"/>
        <v>-0.75274091393147979</v>
      </c>
      <c r="M42">
        <f t="shared" si="6"/>
        <v>31.472099999999994</v>
      </c>
    </row>
    <row r="43" spans="3:13" x14ac:dyDescent="0.25">
      <c r="C43">
        <f t="shared" si="0"/>
        <v>3</v>
      </c>
      <c r="D43">
        <v>1.8</v>
      </c>
      <c r="E43">
        <f t="shared" ref="E43" si="14">COS(2*$E$24*PI()*D43 /$D$20)</f>
        <v>1</v>
      </c>
      <c r="F43">
        <f t="shared" si="2"/>
        <v>-0.63742398974868975</v>
      </c>
      <c r="G43">
        <f t="shared" si="3"/>
        <v>-0.18738131458572463</v>
      </c>
      <c r="I43">
        <f t="shared" si="4"/>
        <v>1.8187119948743451</v>
      </c>
      <c r="J43">
        <f t="shared" si="5"/>
        <v>-0.34079264445238044</v>
      </c>
      <c r="M43">
        <f t="shared" si="6"/>
        <v>33.177600000000005</v>
      </c>
    </row>
    <row r="44" spans="3:13" x14ac:dyDescent="0.25">
      <c r="C44">
        <f t="shared" si="0"/>
        <v>3</v>
      </c>
      <c r="D44">
        <v>1.9</v>
      </c>
      <c r="E44">
        <f t="shared" ref="E44" si="15">COS(2*$E$24*PI()*D44 /$D$20)</f>
        <v>1</v>
      </c>
      <c r="F44">
        <f t="shared" si="2"/>
        <v>-0.72896862742141133</v>
      </c>
      <c r="G44">
        <f t="shared" si="3"/>
        <v>6.2790519529312833E-2</v>
      </c>
      <c r="I44">
        <f t="shared" si="4"/>
        <v>1.8644843137107057</v>
      </c>
      <c r="J44">
        <f t="shared" si="5"/>
        <v>0.11707193871214949</v>
      </c>
      <c r="M44">
        <f t="shared" si="6"/>
        <v>34.692100000000003</v>
      </c>
    </row>
    <row r="45" spans="3:13" x14ac:dyDescent="0.25">
      <c r="C45">
        <f t="shared" si="0"/>
        <v>3</v>
      </c>
      <c r="D45">
        <v>2</v>
      </c>
      <c r="E45">
        <f t="shared" ref="E45" si="16">COS(2*$E$24*PI()*D45 /$D$20)</f>
        <v>1</v>
      </c>
      <c r="F45">
        <f t="shared" si="2"/>
        <v>-0.80901699437494734</v>
      </c>
      <c r="G45">
        <f t="shared" si="3"/>
        <v>0.30901699437494723</v>
      </c>
      <c r="I45">
        <f t="shared" si="4"/>
        <v>1.9045084971874737</v>
      </c>
      <c r="J45">
        <f t="shared" si="5"/>
        <v>0.58852549156242073</v>
      </c>
      <c r="M45">
        <f t="shared" si="6"/>
        <v>36</v>
      </c>
    </row>
    <row r="46" spans="3:13" x14ac:dyDescent="0.25">
      <c r="C46">
        <f t="shared" si="0"/>
        <v>3</v>
      </c>
      <c r="D46">
        <v>2.1</v>
      </c>
      <c r="E46">
        <f t="shared" ref="E46" si="17">COS(2*$E$24*PI()*D46 /$D$20)</f>
        <v>1</v>
      </c>
      <c r="F46">
        <f t="shared" si="2"/>
        <v>-0.87630668004386358</v>
      </c>
      <c r="G46">
        <f t="shared" si="3"/>
        <v>0.53582679497899677</v>
      </c>
      <c r="I46">
        <f t="shared" si="4"/>
        <v>1.9381533400219317</v>
      </c>
      <c r="J46">
        <f t="shared" si="5"/>
        <v>1.0385144923617895</v>
      </c>
      <c r="M46">
        <f t="shared" si="6"/>
        <v>37.088100000000004</v>
      </c>
    </row>
    <row r="47" spans="3:13" x14ac:dyDescent="0.25">
      <c r="C47">
        <f t="shared" si="0"/>
        <v>3</v>
      </c>
      <c r="D47">
        <v>2.2000000000000002</v>
      </c>
      <c r="E47">
        <f t="shared" ref="E47" si="18">COS(2*$E$24*PI()*D47 /$D$20)</f>
        <v>1</v>
      </c>
      <c r="F47">
        <f t="shared" si="2"/>
        <v>-0.92977648588825146</v>
      </c>
      <c r="G47">
        <f t="shared" si="3"/>
        <v>0.72896862742141189</v>
      </c>
      <c r="I47">
        <f t="shared" si="4"/>
        <v>1.9648882429441259</v>
      </c>
      <c r="J47">
        <f t="shared" si="5"/>
        <v>1.4323418854954491</v>
      </c>
      <c r="M47">
        <f t="shared" si="6"/>
        <v>37.945599999999999</v>
      </c>
    </row>
    <row r="48" spans="3:13" x14ac:dyDescent="0.25">
      <c r="C48">
        <f t="shared" si="0"/>
        <v>3</v>
      </c>
      <c r="D48">
        <v>2.2999999999999998</v>
      </c>
      <c r="E48">
        <f t="shared" ref="E48" si="19">COS(2*$E$24*PI()*D48 /$D$20)</f>
        <v>1</v>
      </c>
      <c r="F48">
        <f t="shared" si="2"/>
        <v>-0.96858316112863097</v>
      </c>
      <c r="G48">
        <f t="shared" si="3"/>
        <v>0.87630668004386314</v>
      </c>
      <c r="I48">
        <f t="shared" si="4"/>
        <v>1.9842915805643155</v>
      </c>
      <c r="J48">
        <f t="shared" si="5"/>
        <v>1.738847967203305</v>
      </c>
      <c r="M48">
        <f t="shared" si="6"/>
        <v>38.564099999999996</v>
      </c>
    </row>
    <row r="49" spans="3:13" x14ac:dyDescent="0.25">
      <c r="C49">
        <f t="shared" si="0"/>
        <v>3</v>
      </c>
      <c r="D49">
        <v>2.4</v>
      </c>
      <c r="E49">
        <f t="shared" ref="E49" si="20">COS(2*$E$24*PI()*D49 /$D$20)</f>
        <v>1</v>
      </c>
      <c r="F49">
        <f t="shared" si="2"/>
        <v>-0.99211470131447776</v>
      </c>
      <c r="G49">
        <f t="shared" si="3"/>
        <v>0.96858316112863097</v>
      </c>
      <c r="I49">
        <f t="shared" si="4"/>
        <v>1.9960573506572388</v>
      </c>
      <c r="J49">
        <f t="shared" si="5"/>
        <v>1.9333475384936285</v>
      </c>
      <c r="M49">
        <f t="shared" si="6"/>
        <v>38.937600000000003</v>
      </c>
    </row>
    <row r="50" spans="3:13" x14ac:dyDescent="0.25">
      <c r="C50">
        <f t="shared" si="0"/>
        <v>3</v>
      </c>
      <c r="D50">
        <v>2.5</v>
      </c>
      <c r="E50">
        <f t="shared" ref="E50" si="21">COS(2*$E$24*PI()*D50 /$D$20)</f>
        <v>1</v>
      </c>
      <c r="F50">
        <f t="shared" si="2"/>
        <v>-1</v>
      </c>
      <c r="G50">
        <f t="shared" si="3"/>
        <v>1</v>
      </c>
      <c r="I50">
        <f t="shared" si="4"/>
        <v>2</v>
      </c>
      <c r="J50">
        <f t="shared" si="5"/>
        <v>2</v>
      </c>
      <c r="M50">
        <f t="shared" si="6"/>
        <v>39.0625</v>
      </c>
    </row>
    <row r="51" spans="3:13" x14ac:dyDescent="0.25">
      <c r="C51">
        <f t="shared" si="0"/>
        <v>3</v>
      </c>
      <c r="D51">
        <v>2.6</v>
      </c>
      <c r="E51">
        <f t="shared" ref="E51" si="22">COS(2*$E$24*PI()*D51 /$D$20)</f>
        <v>1</v>
      </c>
      <c r="F51">
        <f t="shared" si="2"/>
        <v>-0.99211470131447788</v>
      </c>
      <c r="G51">
        <f t="shared" si="3"/>
        <v>0.96858316112863108</v>
      </c>
      <c r="I51">
        <f t="shared" si="4"/>
        <v>1.9960573506572388</v>
      </c>
      <c r="J51">
        <f t="shared" si="5"/>
        <v>1.9333475384936287</v>
      </c>
      <c r="M51">
        <f t="shared" si="6"/>
        <v>38.937600000000003</v>
      </c>
    </row>
    <row r="52" spans="3:13" x14ac:dyDescent="0.25">
      <c r="C52">
        <f t="shared" si="0"/>
        <v>3</v>
      </c>
      <c r="D52">
        <v>2.7</v>
      </c>
      <c r="E52">
        <f t="shared" ref="E52" si="23">COS(2*$E$24*PI()*D52 /$D$20)</f>
        <v>1</v>
      </c>
      <c r="F52">
        <f t="shared" si="2"/>
        <v>-0.96858316112863119</v>
      </c>
      <c r="G52">
        <f t="shared" si="3"/>
        <v>0.87630668004386381</v>
      </c>
      <c r="I52">
        <f t="shared" si="4"/>
        <v>1.9842915805643155</v>
      </c>
      <c r="J52">
        <f t="shared" si="5"/>
        <v>1.7388479672033064</v>
      </c>
      <c r="M52">
        <f t="shared" si="6"/>
        <v>38.564099999999996</v>
      </c>
    </row>
    <row r="53" spans="3:13" x14ac:dyDescent="0.25">
      <c r="C53">
        <f t="shared" si="0"/>
        <v>3</v>
      </c>
      <c r="D53">
        <v>2.8</v>
      </c>
      <c r="E53">
        <f t="shared" ref="E53" si="24">COS(2*$E$24*PI()*D53 /$D$20)</f>
        <v>1</v>
      </c>
      <c r="F53">
        <f t="shared" si="2"/>
        <v>-0.92977648588825146</v>
      </c>
      <c r="G53">
        <f t="shared" si="3"/>
        <v>0.72896862742141155</v>
      </c>
      <c r="I53">
        <f t="shared" si="4"/>
        <v>1.9648882429441259</v>
      </c>
      <c r="J53">
        <f t="shared" si="5"/>
        <v>1.4323418854954484</v>
      </c>
      <c r="M53">
        <f t="shared" si="6"/>
        <v>37.945599999999999</v>
      </c>
    </row>
    <row r="54" spans="3:13" x14ac:dyDescent="0.25">
      <c r="C54">
        <f t="shared" si="0"/>
        <v>3</v>
      </c>
      <c r="D54">
        <v>2.9</v>
      </c>
      <c r="E54">
        <f t="shared" ref="E54" si="25">COS(2*$E$24*PI()*D54 /$D$20)</f>
        <v>1</v>
      </c>
      <c r="F54">
        <f t="shared" si="2"/>
        <v>-0.87630668004386369</v>
      </c>
      <c r="G54">
        <f t="shared" si="3"/>
        <v>0.53582679497899721</v>
      </c>
      <c r="I54">
        <f t="shared" si="4"/>
        <v>1.938153340021932</v>
      </c>
      <c r="J54">
        <f t="shared" si="5"/>
        <v>1.0385144923617904</v>
      </c>
      <c r="M54">
        <f t="shared" si="6"/>
        <v>37.088100000000004</v>
      </c>
    </row>
    <row r="55" spans="3:13" x14ac:dyDescent="0.25">
      <c r="C55">
        <f t="shared" si="0"/>
        <v>3</v>
      </c>
      <c r="D55">
        <v>3</v>
      </c>
      <c r="E55">
        <f t="shared" ref="E55" si="26">COS(2*$E$24*PI()*D55 /$D$20)</f>
        <v>1</v>
      </c>
      <c r="F55">
        <f t="shared" si="2"/>
        <v>-0.80901699437494756</v>
      </c>
      <c r="G55">
        <f t="shared" si="3"/>
        <v>0.30901699437494773</v>
      </c>
      <c r="I55">
        <f t="shared" si="4"/>
        <v>1.9045084971874737</v>
      </c>
      <c r="J55">
        <f t="shared" si="5"/>
        <v>0.58852549156242173</v>
      </c>
      <c r="M55">
        <f t="shared" si="6"/>
        <v>36</v>
      </c>
    </row>
    <row r="56" spans="3:13" x14ac:dyDescent="0.25">
      <c r="C56">
        <f t="shared" si="0"/>
        <v>3</v>
      </c>
      <c r="D56">
        <v>3.1</v>
      </c>
      <c r="E56">
        <f t="shared" ref="E56" si="27">COS(2*$E$24*PI()*D56 /$D$20)</f>
        <v>1</v>
      </c>
      <c r="F56">
        <f t="shared" si="2"/>
        <v>-0.72896862742141155</v>
      </c>
      <c r="G56">
        <f t="shared" si="3"/>
        <v>6.2790519529313318E-2</v>
      </c>
      <c r="I56">
        <f t="shared" si="4"/>
        <v>1.8644843137107057</v>
      </c>
      <c r="J56">
        <f t="shared" si="5"/>
        <v>0.11707193871215041</v>
      </c>
      <c r="M56">
        <f t="shared" si="6"/>
        <v>34.692100000000003</v>
      </c>
    </row>
    <row r="57" spans="3:13" x14ac:dyDescent="0.25">
      <c r="C57">
        <f t="shared" si="0"/>
        <v>3</v>
      </c>
      <c r="D57">
        <v>3.2</v>
      </c>
      <c r="E57">
        <f t="shared" ref="E57" si="28">COS(2*$E$24*PI()*D57 /$D$20)</f>
        <v>1</v>
      </c>
      <c r="F57">
        <f t="shared" si="2"/>
        <v>-0.63742398974868952</v>
      </c>
      <c r="G57">
        <f t="shared" si="3"/>
        <v>-0.18738131458572502</v>
      </c>
      <c r="I57">
        <f t="shared" si="4"/>
        <v>1.8187119948743447</v>
      </c>
      <c r="J57">
        <f t="shared" si="5"/>
        <v>-0.34079264445238105</v>
      </c>
      <c r="M57">
        <f t="shared" si="6"/>
        <v>33.177599999999998</v>
      </c>
    </row>
    <row r="58" spans="3:13" x14ac:dyDescent="0.25">
      <c r="C58">
        <f t="shared" si="0"/>
        <v>3</v>
      </c>
      <c r="D58">
        <v>3.3</v>
      </c>
      <c r="E58">
        <f t="shared" ref="E58" si="29">COS(2*$E$24*PI()*D58 /$D$20)</f>
        <v>1</v>
      </c>
      <c r="F58">
        <f t="shared" si="2"/>
        <v>-0.5358267949789971</v>
      </c>
      <c r="G58">
        <f t="shared" si="3"/>
        <v>-0.42577929156507172</v>
      </c>
      <c r="I58">
        <f t="shared" si="4"/>
        <v>1.7679133974894985</v>
      </c>
      <c r="J58">
        <f t="shared" si="5"/>
        <v>-0.75274091393147768</v>
      </c>
      <c r="M58">
        <f t="shared" si="6"/>
        <v>31.472100000000001</v>
      </c>
    </row>
    <row r="59" spans="3:13" x14ac:dyDescent="0.25">
      <c r="C59">
        <f t="shared" si="0"/>
        <v>3</v>
      </c>
      <c r="D59">
        <v>3.4</v>
      </c>
      <c r="E59">
        <f t="shared" ref="E59" si="30">COS(2*$E$24*PI()*D59 /$D$20)</f>
        <v>1</v>
      </c>
      <c r="F59">
        <f t="shared" si="2"/>
        <v>-0.42577929156507294</v>
      </c>
      <c r="G59">
        <f t="shared" si="3"/>
        <v>-0.63742398974868919</v>
      </c>
      <c r="I59">
        <f t="shared" si="4"/>
        <v>1.7128896457825364</v>
      </c>
      <c r="J59">
        <f t="shared" si="5"/>
        <v>-1.0918369520139233</v>
      </c>
      <c r="M59">
        <f t="shared" si="6"/>
        <v>29.593600000000002</v>
      </c>
    </row>
    <row r="60" spans="3:13" x14ac:dyDescent="0.25">
      <c r="C60">
        <f t="shared" si="0"/>
        <v>3</v>
      </c>
      <c r="D60">
        <v>3.5</v>
      </c>
      <c r="E60">
        <f t="shared" ref="E60" si="31">COS(2*$E$24*PI()*D60 /$D$20)</f>
        <v>1</v>
      </c>
      <c r="F60">
        <f t="shared" si="2"/>
        <v>-0.30901699437494756</v>
      </c>
      <c r="G60">
        <f t="shared" si="3"/>
        <v>-0.80901699437494723</v>
      </c>
      <c r="I60">
        <f t="shared" si="4"/>
        <v>1.6545084971874737</v>
      </c>
      <c r="J60">
        <f t="shared" si="5"/>
        <v>-1.3385254915624207</v>
      </c>
      <c r="M60">
        <f t="shared" si="6"/>
        <v>27.5625</v>
      </c>
    </row>
    <row r="61" spans="3:13" x14ac:dyDescent="0.25">
      <c r="C61">
        <f t="shared" si="0"/>
        <v>3</v>
      </c>
      <c r="D61">
        <v>3.6</v>
      </c>
      <c r="E61">
        <f t="shared" ref="E61" si="32">COS(2*$E$24*PI()*D61 /$D$20)</f>
        <v>1</v>
      </c>
      <c r="F61">
        <f t="shared" si="2"/>
        <v>-0.18738131458572463</v>
      </c>
      <c r="G61">
        <f t="shared" si="3"/>
        <v>-0.92977648588825146</v>
      </c>
      <c r="I61">
        <f t="shared" si="4"/>
        <v>1.5936906572928624</v>
      </c>
      <c r="J61">
        <f t="shared" si="5"/>
        <v>-1.4817760989306952</v>
      </c>
      <c r="M61">
        <f t="shared" si="6"/>
        <v>25.401599999999998</v>
      </c>
    </row>
    <row r="62" spans="3:13" x14ac:dyDescent="0.25">
      <c r="C62">
        <f t="shared" si="0"/>
        <v>3</v>
      </c>
      <c r="D62">
        <v>3.7</v>
      </c>
      <c r="E62">
        <f t="shared" ref="E62" si="33">COS(2*$E$24*PI()*D62 /$D$20)</f>
        <v>1</v>
      </c>
      <c r="F62">
        <f t="shared" si="2"/>
        <v>-6.2790519529313207E-2</v>
      </c>
      <c r="G62">
        <f t="shared" si="3"/>
        <v>-0.99211470131447788</v>
      </c>
      <c r="I62">
        <f t="shared" si="4"/>
        <v>1.5313952597646565</v>
      </c>
      <c r="J62">
        <f t="shared" si="5"/>
        <v>-1.5193197507358194</v>
      </c>
      <c r="M62">
        <f t="shared" si="6"/>
        <v>23.136099999999995</v>
      </c>
    </row>
    <row r="63" spans="3:13" x14ac:dyDescent="0.25">
      <c r="C63">
        <f t="shared" si="0"/>
        <v>3</v>
      </c>
      <c r="D63">
        <v>3.8</v>
      </c>
      <c r="E63">
        <f t="shared" ref="E63" si="34">COS(2*$E$24*PI()*D63 /$D$20)</f>
        <v>1</v>
      </c>
      <c r="F63">
        <f t="shared" si="2"/>
        <v>6.2790519529312833E-2</v>
      </c>
      <c r="G63">
        <f t="shared" si="3"/>
        <v>-0.99211470131447799</v>
      </c>
      <c r="I63">
        <f t="shared" si="4"/>
        <v>1.4686047402353435</v>
      </c>
      <c r="J63">
        <f t="shared" si="5"/>
        <v>-1.4570243532076144</v>
      </c>
      <c r="M63">
        <f t="shared" si="6"/>
        <v>20.793600000000005</v>
      </c>
    </row>
    <row r="64" spans="3:13" x14ac:dyDescent="0.25">
      <c r="C64">
        <f t="shared" si="0"/>
        <v>3</v>
      </c>
      <c r="D64">
        <v>3.9</v>
      </c>
      <c r="E64">
        <f t="shared" ref="E64" si="35">COS(2*$E$24*PI()*D64 /$D$20)</f>
        <v>1</v>
      </c>
      <c r="F64">
        <f t="shared" si="2"/>
        <v>0.18738131458572427</v>
      </c>
      <c r="G64">
        <f t="shared" si="3"/>
        <v>-0.92977648588825168</v>
      </c>
      <c r="I64">
        <f t="shared" si="4"/>
        <v>1.4063093427071378</v>
      </c>
      <c r="J64">
        <f t="shared" si="5"/>
        <v>-1.3075533587340595</v>
      </c>
      <c r="M64">
        <f t="shared" si="6"/>
        <v>18.404100000000003</v>
      </c>
    </row>
    <row r="65" spans="3:13" x14ac:dyDescent="0.25">
      <c r="C65">
        <f t="shared" si="0"/>
        <v>3</v>
      </c>
      <c r="D65">
        <v>4</v>
      </c>
      <c r="E65">
        <f t="shared" ref="E65" si="36">COS(2*$E$24*PI()*D65 /$D$20)</f>
        <v>1</v>
      </c>
      <c r="F65">
        <f t="shared" si="2"/>
        <v>0.30901699437494723</v>
      </c>
      <c r="G65">
        <f t="shared" si="3"/>
        <v>-0.80901699437494767</v>
      </c>
      <c r="I65">
        <f t="shared" si="4"/>
        <v>1.3454915028125265</v>
      </c>
      <c r="J65">
        <f t="shared" si="5"/>
        <v>-1.0885254915624216</v>
      </c>
      <c r="M65">
        <f t="shared" si="6"/>
        <v>16</v>
      </c>
    </row>
    <row r="66" spans="3:13" x14ac:dyDescent="0.25">
      <c r="C66">
        <f t="shared" si="0"/>
        <v>3</v>
      </c>
      <c r="D66">
        <v>4.0999999999999996</v>
      </c>
      <c r="E66">
        <f t="shared" ref="E66" si="37">COS(2*$E$24*PI()*D66 /$D$20)</f>
        <v>1</v>
      </c>
      <c r="F66">
        <f t="shared" si="2"/>
        <v>0.42577929156507183</v>
      </c>
      <c r="G66">
        <f t="shared" si="3"/>
        <v>-0.63742398974869108</v>
      </c>
      <c r="I66">
        <f t="shared" si="4"/>
        <v>1.287110354217464</v>
      </c>
      <c r="J66">
        <f t="shared" si="5"/>
        <v>-0.82043501723214696</v>
      </c>
      <c r="M66">
        <f t="shared" si="6"/>
        <v>13.616100000000008</v>
      </c>
    </row>
    <row r="67" spans="3:13" x14ac:dyDescent="0.25">
      <c r="C67">
        <f t="shared" si="0"/>
        <v>3</v>
      </c>
      <c r="D67">
        <v>4.2</v>
      </c>
      <c r="E67">
        <f t="shared" ref="E67" si="38">COS(2*$E$24*PI()*D67 /$D$20)</f>
        <v>1</v>
      </c>
      <c r="F67">
        <f t="shared" si="2"/>
        <v>0.53582679497899677</v>
      </c>
      <c r="G67">
        <f t="shared" si="3"/>
        <v>-0.42577929156507238</v>
      </c>
      <c r="I67">
        <f t="shared" si="4"/>
        <v>1.2320866025105017</v>
      </c>
      <c r="J67">
        <f t="shared" si="5"/>
        <v>-0.52459696076373841</v>
      </c>
      <c r="M67">
        <f t="shared" si="6"/>
        <v>11.289599999999995</v>
      </c>
    </row>
    <row r="68" spans="3:13" x14ac:dyDescent="0.25">
      <c r="C68">
        <f t="shared" si="0"/>
        <v>3</v>
      </c>
      <c r="D68">
        <v>4.3</v>
      </c>
      <c r="E68">
        <f t="shared" ref="E68" si="39">COS(2*$E$24*PI()*D68 /$D$20)</f>
        <v>1</v>
      </c>
      <c r="F68">
        <f t="shared" si="2"/>
        <v>0.6374239897486893</v>
      </c>
      <c r="G68">
        <f t="shared" si="3"/>
        <v>-0.18738131458572574</v>
      </c>
      <c r="I68">
        <f t="shared" si="4"/>
        <v>1.1812880051256553</v>
      </c>
      <c r="J68">
        <f t="shared" si="5"/>
        <v>-0.22135129930479483</v>
      </c>
      <c r="M68">
        <f t="shared" si="6"/>
        <v>9.0601000000000038</v>
      </c>
    </row>
    <row r="69" spans="3:13" x14ac:dyDescent="0.25">
      <c r="C69">
        <f t="shared" si="0"/>
        <v>3</v>
      </c>
      <c r="D69">
        <v>4.4000000000000004</v>
      </c>
      <c r="E69">
        <f t="shared" ref="E69" si="40">COS(2*$E$24*PI()*D69 /$D$20)</f>
        <v>1</v>
      </c>
      <c r="F69">
        <f t="shared" si="2"/>
        <v>0.72896862742141189</v>
      </c>
      <c r="G69">
        <f t="shared" si="3"/>
        <v>6.2790519529314359E-2</v>
      </c>
      <c r="I69">
        <f t="shared" si="4"/>
        <v>1.1355156862892941</v>
      </c>
      <c r="J69">
        <f t="shared" si="5"/>
        <v>7.1299619875790726E-2</v>
      </c>
      <c r="M69">
        <f t="shared" si="6"/>
        <v>6.9695999999999936</v>
      </c>
    </row>
    <row r="70" spans="3:13" x14ac:dyDescent="0.25">
      <c r="C70">
        <f t="shared" si="0"/>
        <v>3</v>
      </c>
      <c r="D70">
        <v>4.5</v>
      </c>
      <c r="E70">
        <f t="shared" ref="E70" si="41">COS(2*$E$24*PI()*D70 /$D$20)</f>
        <v>1</v>
      </c>
      <c r="F70">
        <f t="shared" si="2"/>
        <v>0.80901699437494734</v>
      </c>
      <c r="G70">
        <f t="shared" si="3"/>
        <v>0.30901699437494701</v>
      </c>
      <c r="I70">
        <f t="shared" si="4"/>
        <v>1.0954915028125263</v>
      </c>
      <c r="J70">
        <f t="shared" si="5"/>
        <v>0.33852549156242068</v>
      </c>
      <c r="M70">
        <f t="shared" si="6"/>
        <v>5.0625</v>
      </c>
    </row>
    <row r="71" spans="3:13" x14ac:dyDescent="0.25">
      <c r="C71">
        <f t="shared" si="0"/>
        <v>3</v>
      </c>
      <c r="D71">
        <v>4.5999999999999996</v>
      </c>
      <c r="E71">
        <f t="shared" ref="E71" si="42">COS(2*$E$24*PI()*D71 /$D$20)</f>
        <v>1</v>
      </c>
      <c r="F71">
        <f t="shared" si="2"/>
        <v>0.87630668004386314</v>
      </c>
      <c r="G71">
        <f t="shared" si="3"/>
        <v>0.53582679497899499</v>
      </c>
      <c r="I71">
        <f t="shared" si="4"/>
        <v>1.0618466599780685</v>
      </c>
      <c r="J71">
        <f t="shared" si="5"/>
        <v>0.56896589257519914</v>
      </c>
      <c r="M71">
        <f t="shared" si="6"/>
        <v>3.3856000000000055</v>
      </c>
    </row>
    <row r="72" spans="3:13" x14ac:dyDescent="0.25">
      <c r="C72">
        <f t="shared" si="0"/>
        <v>3</v>
      </c>
      <c r="D72">
        <v>4.7</v>
      </c>
      <c r="E72">
        <f t="shared" ref="E72" si="43">COS(2*$E$24*PI()*D72 /$D$20)</f>
        <v>1</v>
      </c>
      <c r="F72">
        <f t="shared" si="2"/>
        <v>0.92977648588825146</v>
      </c>
      <c r="G72">
        <f t="shared" si="3"/>
        <v>0.72896862742141166</v>
      </c>
      <c r="I72">
        <f t="shared" si="4"/>
        <v>1.0351117570558743</v>
      </c>
      <c r="J72">
        <f t="shared" si="5"/>
        <v>0.75456399676878638</v>
      </c>
      <c r="M72">
        <f t="shared" si="6"/>
        <v>1.988099999999998</v>
      </c>
    </row>
    <row r="73" spans="3:13" x14ac:dyDescent="0.25">
      <c r="C73">
        <f t="shared" si="0"/>
        <v>3</v>
      </c>
      <c r="D73">
        <v>4.8</v>
      </c>
      <c r="E73">
        <f t="shared" ref="E73" si="44">COS(2*$E$24*PI()*D73 /$D$20)</f>
        <v>1</v>
      </c>
      <c r="F73">
        <f t="shared" si="2"/>
        <v>0.96858316112863097</v>
      </c>
      <c r="G73">
        <f t="shared" si="3"/>
        <v>0.87630668004386303</v>
      </c>
      <c r="I73">
        <f t="shared" si="4"/>
        <v>1.0157084194356845</v>
      </c>
      <c r="J73">
        <f t="shared" si="5"/>
        <v>0.89007207292828416</v>
      </c>
      <c r="M73">
        <f t="shared" si="6"/>
        <v>0.92160000000000153</v>
      </c>
    </row>
    <row r="74" spans="3:13" x14ac:dyDescent="0.25">
      <c r="C74">
        <f t="shared" si="0"/>
        <v>3</v>
      </c>
      <c r="D74">
        <v>4.9000000000000004</v>
      </c>
      <c r="E74">
        <f t="shared" ref="E74" si="45">COS(2*$E$24*PI()*D74 /$D$20)</f>
        <v>1</v>
      </c>
      <c r="F74">
        <f t="shared" si="2"/>
        <v>0.99211470131447788</v>
      </c>
      <c r="G74">
        <f t="shared" si="3"/>
        <v>0.9685831611286313</v>
      </c>
      <c r="I74">
        <f t="shared" si="4"/>
        <v>1.003942649342761</v>
      </c>
      <c r="J74">
        <f t="shared" si="5"/>
        <v>0.9724019448922645</v>
      </c>
      <c r="M74">
        <f t="shared" si="6"/>
        <v>0.24009999999999834</v>
      </c>
    </row>
    <row r="75" spans="3:13" x14ac:dyDescent="0.25">
      <c r="C75">
        <f t="shared" si="0"/>
        <v>3</v>
      </c>
      <c r="D75">
        <v>5</v>
      </c>
      <c r="E75">
        <f t="shared" ref="E75" si="46">COS(2*$E$24*PI()*D75 /$D$20)</f>
        <v>1</v>
      </c>
      <c r="F75">
        <f t="shared" si="2"/>
        <v>1</v>
      </c>
      <c r="G75">
        <f t="shared" si="3"/>
        <v>1</v>
      </c>
      <c r="I75">
        <f t="shared" si="4"/>
        <v>1</v>
      </c>
      <c r="J75">
        <f t="shared" si="5"/>
        <v>1</v>
      </c>
      <c r="M75">
        <f t="shared" si="6"/>
        <v>0</v>
      </c>
    </row>
  </sheetData>
  <mergeCells count="3">
    <mergeCell ref="D2:E2"/>
    <mergeCell ref="G2:H2"/>
    <mergeCell ref="E23:G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Афанасьева Елена Олеговна</dc:creator>
  <cp:lastModifiedBy>Афанасьева Елена Олеговна</cp:lastModifiedBy>
  <dcterms:created xsi:type="dcterms:W3CDTF">2026-01-20T15:12:54Z</dcterms:created>
  <dcterms:modified xsi:type="dcterms:W3CDTF">2026-01-21T15:30:06Z</dcterms:modified>
</cp:coreProperties>
</file>