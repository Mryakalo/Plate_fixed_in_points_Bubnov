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late_fixed_in_points_Bubnov\docs\"/>
    </mc:Choice>
  </mc:AlternateContent>
  <xr:revisionPtr revIDLastSave="0" documentId="13_ncr:1_{A0995CB6-A81C-4336-837F-5B77876CF117}" xr6:coauthVersionLast="47" xr6:coauthVersionMax="47" xr10:uidLastSave="{00000000-0000-0000-0000-000000000000}"/>
  <bookViews>
    <workbookView xWindow="28680" yWindow="-120" windowWidth="29040" windowHeight="15840" xr2:uid="{618929DB-AD4E-4329-9252-22C0B92C9C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7" i="1" l="1"/>
  <c r="AG15" i="1"/>
  <c r="AF15" i="1"/>
  <c r="R2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B9" i="1"/>
  <c r="AA9" i="1"/>
  <c r="Y10" i="1"/>
  <c r="Y11" i="1"/>
  <c r="Y12" i="1"/>
  <c r="Y13" i="1"/>
  <c r="Y14" i="1"/>
  <c r="Y15" i="1"/>
  <c r="Y16" i="1"/>
  <c r="Y17" i="1"/>
  <c r="Y18" i="1"/>
  <c r="Y19" i="1"/>
  <c r="Y20" i="1"/>
  <c r="Y21" i="1"/>
  <c r="Y9" i="1"/>
  <c r="X10" i="1"/>
  <c r="X11" i="1"/>
  <c r="X12" i="1"/>
  <c r="X13" i="1"/>
  <c r="X14" i="1"/>
  <c r="X15" i="1"/>
  <c r="X16" i="1"/>
  <c r="X17" i="1"/>
  <c r="X18" i="1"/>
  <c r="X19" i="1"/>
  <c r="X20" i="1"/>
  <c r="X21" i="1"/>
  <c r="X9" i="1"/>
  <c r="V10" i="1"/>
  <c r="V11" i="1"/>
  <c r="V12" i="1"/>
  <c r="V13" i="1"/>
  <c r="V14" i="1"/>
  <c r="V15" i="1"/>
  <c r="V16" i="1"/>
  <c r="V17" i="1"/>
  <c r="V18" i="1"/>
  <c r="V19" i="1"/>
  <c r="V20" i="1"/>
  <c r="V21" i="1"/>
  <c r="V9" i="1"/>
  <c r="U10" i="1"/>
  <c r="U11" i="1"/>
  <c r="U12" i="1"/>
  <c r="U13" i="1"/>
  <c r="U14" i="1"/>
  <c r="U15" i="1"/>
  <c r="U16" i="1"/>
  <c r="U17" i="1"/>
  <c r="U18" i="1"/>
  <c r="U19" i="1"/>
  <c r="U20" i="1"/>
  <c r="U21" i="1"/>
  <c r="U9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S10" i="1"/>
  <c r="S11" i="1"/>
  <c r="S12" i="1"/>
  <c r="S13" i="1"/>
  <c r="S14" i="1"/>
  <c r="S15" i="1"/>
  <c r="S16" i="1"/>
  <c r="S17" i="1"/>
  <c r="S18" i="1"/>
  <c r="S19" i="1"/>
  <c r="S20" i="1"/>
  <c r="S21" i="1"/>
  <c r="S9" i="1"/>
  <c r="P10" i="1"/>
  <c r="P11" i="1"/>
  <c r="P12" i="1"/>
  <c r="P13" i="1"/>
  <c r="P14" i="1"/>
  <c r="P15" i="1"/>
  <c r="P16" i="1"/>
  <c r="P17" i="1"/>
  <c r="P18" i="1"/>
  <c r="P19" i="1"/>
  <c r="P20" i="1"/>
  <c r="P21" i="1"/>
  <c r="P9" i="1"/>
  <c r="M10" i="1"/>
  <c r="M11" i="1"/>
  <c r="M12" i="1"/>
  <c r="M13" i="1"/>
  <c r="M14" i="1"/>
  <c r="M15" i="1"/>
  <c r="M16" i="1"/>
  <c r="M17" i="1"/>
  <c r="M18" i="1"/>
  <c r="M19" i="1"/>
  <c r="M20" i="1"/>
  <c r="M21" i="1"/>
  <c r="M9" i="1"/>
  <c r="O10" i="1"/>
  <c r="O11" i="1"/>
  <c r="O12" i="1"/>
  <c r="O13" i="1"/>
  <c r="O14" i="1"/>
  <c r="O15" i="1"/>
  <c r="O16" i="1"/>
  <c r="O17" i="1"/>
  <c r="O18" i="1"/>
  <c r="O19" i="1"/>
  <c r="O20" i="1"/>
  <c r="O21" i="1"/>
  <c r="O9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J10" i="1"/>
  <c r="J11" i="1"/>
  <c r="J12" i="1"/>
  <c r="J13" i="1"/>
  <c r="J14" i="1"/>
  <c r="J15" i="1"/>
  <c r="J16" i="1"/>
  <c r="J17" i="1"/>
  <c r="J18" i="1"/>
  <c r="J19" i="1"/>
  <c r="J20" i="1"/>
  <c r="J21" i="1"/>
  <c r="J9" i="1"/>
  <c r="H10" i="1"/>
  <c r="H11" i="1"/>
  <c r="H12" i="1"/>
  <c r="H13" i="1"/>
  <c r="H14" i="1"/>
  <c r="H15" i="1"/>
  <c r="H16" i="1"/>
  <c r="H17" i="1"/>
  <c r="H18" i="1"/>
  <c r="H19" i="1"/>
  <c r="H20" i="1"/>
  <c r="H21" i="1"/>
  <c r="H9" i="1"/>
  <c r="G10" i="1"/>
  <c r="G11" i="1"/>
  <c r="G12" i="1"/>
  <c r="G13" i="1"/>
  <c r="G14" i="1"/>
  <c r="G15" i="1"/>
  <c r="G16" i="1"/>
  <c r="G17" i="1"/>
  <c r="G18" i="1"/>
  <c r="G19" i="1"/>
  <c r="G20" i="1"/>
  <c r="G21" i="1"/>
  <c r="G9" i="1"/>
  <c r="AD17" i="1" l="1"/>
  <c r="AD18" i="1"/>
  <c r="AD10" i="1"/>
  <c r="AD11" i="1"/>
  <c r="AD13" i="1"/>
  <c r="AD19" i="1"/>
  <c r="AD16" i="1"/>
  <c r="AD15" i="1"/>
  <c r="AD14" i="1"/>
  <c r="AD12" i="1"/>
  <c r="AD21" i="1"/>
  <c r="AD20" i="1"/>
  <c r="AD9" i="1"/>
  <c r="R4" i="1"/>
  <c r="AG16" i="1"/>
  <c r="AF16" i="1"/>
</calcChain>
</file>

<file path=xl/sharedStrings.xml><?xml version="1.0" encoding="utf-8"?>
<sst xmlns="http://schemas.openxmlformats.org/spreadsheetml/2006/main" count="22" uniqueCount="16">
  <si>
    <t>x</t>
  </si>
  <si>
    <t>y</t>
  </si>
  <si>
    <t>a</t>
  </si>
  <si>
    <t>b</t>
  </si>
  <si>
    <t>W1</t>
  </si>
  <si>
    <t>W2</t>
  </si>
  <si>
    <t>W3</t>
  </si>
  <si>
    <t>W4</t>
  </si>
  <si>
    <t>FW''x</t>
  </si>
  <si>
    <t>FW''y</t>
  </si>
  <si>
    <t>nablaW2</t>
  </si>
  <si>
    <t>nablaW1</t>
  </si>
  <si>
    <t>D</t>
  </si>
  <si>
    <t>M=</t>
  </si>
  <si>
    <t>mu</t>
  </si>
  <si>
    <t>для вычисления момента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</si>
</sst>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B861-39CE-42B0-94C4-6D78CDA5894A}">
  <dimension ref="C1:AG28"/>
  <sheetViews>
    <sheetView tabSelected="1" topLeftCell="B1" workbookViewId="0">
      <selection activeCell="E9" sqref="E9:E21"/>
    </sheetView>
  </sheetViews>
  <sheetFormatPr defaultRowHeight="15" x14ac:dyDescent="0.25"/>
  <sheetData>
    <row r="1" spans="5:33" x14ac:dyDescent="0.25">
      <c r="R1" s="4" t="s">
        <v>15</v>
      </c>
      <c r="S1" s="4"/>
      <c r="T1" s="4"/>
      <c r="U1" s="4"/>
      <c r="V1" s="4"/>
      <c r="W1" s="4"/>
      <c r="X1" s="4"/>
      <c r="Y1" s="4"/>
      <c r="Z1" s="4"/>
      <c r="AA1" s="4"/>
      <c r="AB1" s="4"/>
    </row>
    <row r="2" spans="5:33" x14ac:dyDescent="0.25">
      <c r="Q2" t="s">
        <v>12</v>
      </c>
      <c r="R2">
        <f>27500*0.2^3/12/(1-0.2^2)</f>
        <v>19.097222222222229</v>
      </c>
    </row>
    <row r="3" spans="5:33" x14ac:dyDescent="0.25">
      <c r="E3" t="s">
        <v>2</v>
      </c>
      <c r="F3">
        <v>6</v>
      </c>
      <c r="Q3" t="s">
        <v>14</v>
      </c>
      <c r="R3">
        <v>0.2</v>
      </c>
    </row>
    <row r="4" spans="5:33" x14ac:dyDescent="0.25">
      <c r="E4" t="s">
        <v>3</v>
      </c>
      <c r="F4">
        <v>6</v>
      </c>
      <c r="Q4" t="s">
        <v>13</v>
      </c>
      <c r="R4" s="2">
        <f>R2*(S7*R15+V7*U15+Y7*X15+AB7*AA15)*1000+R2*R3*(S7*S15+V7*V15+Y7*Y15+AB7*AB15)*1000</f>
        <v>-32.047451688057585</v>
      </c>
    </row>
    <row r="7" spans="5:33" x14ac:dyDescent="0.25">
      <c r="R7" t="s">
        <v>4</v>
      </c>
      <c r="S7" s="1">
        <v>2.46243128E-5</v>
      </c>
      <c r="U7" t="s">
        <v>5</v>
      </c>
      <c r="V7" s="1">
        <v>-2.7026895099999999E-4</v>
      </c>
      <c r="X7" t="s">
        <v>6</v>
      </c>
      <c r="Y7" s="1">
        <v>-2.7026895099999999E-4</v>
      </c>
      <c r="AA7" t="s">
        <v>7</v>
      </c>
      <c r="AB7" s="1">
        <f>--0.00610807937</f>
        <v>6.10807937E-3</v>
      </c>
    </row>
    <row r="8" spans="5:33" x14ac:dyDescent="0.25">
      <c r="E8" t="s">
        <v>0</v>
      </c>
      <c r="F8" t="s">
        <v>1</v>
      </c>
      <c r="H8" t="s">
        <v>10</v>
      </c>
      <c r="M8" t="s">
        <v>11</v>
      </c>
      <c r="R8" t="s">
        <v>8</v>
      </c>
      <c r="S8" t="s">
        <v>9</v>
      </c>
      <c r="U8" t="s">
        <v>8</v>
      </c>
      <c r="V8" t="s">
        <v>9</v>
      </c>
      <c r="X8" t="s">
        <v>8</v>
      </c>
      <c r="Y8" t="s">
        <v>9</v>
      </c>
      <c r="AA8" t="s">
        <v>8</v>
      </c>
      <c r="AB8" t="s">
        <v>9</v>
      </c>
    </row>
    <row r="9" spans="5:33" x14ac:dyDescent="0.25">
      <c r="E9">
        <v>3</v>
      </c>
      <c r="F9">
        <v>0</v>
      </c>
      <c r="G9">
        <f>1.20258137079015*SIN(0.523598775598299*E9)^2 + 0.300645342697539*SIN(0.523598775598299*E9)*SIN(0.523598775598299*F9) - 0.601290685395077</f>
        <v>0.60129068539507302</v>
      </c>
      <c r="H9">
        <f>(PI()/$F$3)^4*(-8*COS(2*PI()*E9/$F$3)+SIN(PI()*E9/$F$3)*SIN(PI()*F9/$F$4))+(PI()/$F$4)^4*SIN(PI()*E9/$F$3)*SIN(PI()*F9/$F$4)+2*(PI()/$F$3)^2*(PI()/$F$4)^2*SIN(PI()*E9/$F$3)*SIN(PI()*F9/$F$4)</f>
        <v>0.60129068539507646</v>
      </c>
      <c r="J9">
        <f>0.300645342697539*SIN(0.523598775598299*E9)*SIN(0.523598775598299*F9) + 1.20258137079015*SIN(0.523598775598299*F9)^2 - 0.601290685395077</f>
        <v>-0.60129068539507702</v>
      </c>
      <c r="L9">
        <f>1.87903339185962*SIN(0.523598775598299*E9)^2*SIN(0.523598775598299*F9) + 1.87903339185962*SIN(0.523598775598299*E9)*SIN(0.523598775598299*F9)^2 - 0.901936028092615*SIN(0.523598775598299*E9) - 0.901936028092615*SIN(0.523598775598299*F9)</f>
        <v>-0.90193602809261497</v>
      </c>
      <c r="M9">
        <f>(PI()/$F$3)^4*SIN(PI()*F9/$F$4)*(-8*COS(2*PI()*E9/$F$3)+SIN(PI()*E9/$F$3)*SIN(PI()*F9/$F$4))+(PI()/$F$4)^4*SIN(PI()*E9/$F$3)*(-8*COS(2*PI()*F9/$F$4)+SIN(PI()*F9/$F$4)*SIN(PI()*E9/$F$3))+2*(PI()/$F$3)^2*(PI()/$F$4)^2*(-2*COS(2*PI()*E9/$F$3)*SIN(PI()*F9/$F$4)-2*COS(2*PI()*F9/$F$4)*SIN(PI()*E9/$F$3))</f>
        <v>-0.90193602809261475</v>
      </c>
      <c r="O9">
        <f>(0.601290685395078*SIN(0.523598775598299*E9)^2*SIN(0.523598775598299*F9) + 0.0751613356743847*SIN(0.523598775598299*E9)*SIN(0.523598775598299*F9)^2 - 0.601290685395078*SIN(0.523598775598299*F9)*COS(0.523598775598299*E9)^2)</f>
        <v>0</v>
      </c>
      <c r="P9">
        <f>(PI()/$F$3)^4*SIN(PI()*F9/$F$4)*(-8*COS(2*PI()*E9/$F$3)+SIN(PI()*E9/$F$3)*SIN(PI()*F9/$F$4))</f>
        <v>0</v>
      </c>
      <c r="R9">
        <f>(PI()/$F$3)^2*SIN(PI()*F9/$F$4)*(2*COS(2*PI()*E9/$F$3)-SIN(PI()*E9/$F$3)*SIN(PI()*F9/$F$4))</f>
        <v>0</v>
      </c>
      <c r="S9">
        <f>(PI()/$F$4)^2*SIN(PI()*E9/$F$3)*(2*COS(2*PI()*F9/$F$4)-SIN(PI()*F9/$F$4)*SIN(PI()*E9/$F$3))</f>
        <v>0.54831135561607536</v>
      </c>
      <c r="U9">
        <f>(PI()/$F$3)^2*(2*COS(2*PI()*E9/$F$3)-SIN(PI()*E9/$F$3)*SIN(PI()*F9/$F$4))</f>
        <v>-0.54831135561607536</v>
      </c>
      <c r="V9">
        <f>(PI()/$F$4)^2*(-SIN(PI()*F9/$F$4)*SIN(PI()*E9/$F$3))</f>
        <v>0</v>
      </c>
      <c r="X9">
        <f>(PI()/$F$3)^2*(-SIN(PI()*F9/$F$4)*SIN(PI()*E9/$F$3))</f>
        <v>0</v>
      </c>
      <c r="Y9">
        <f>(PI()/$F$4)^2*(2*COS(2*PI()*F9/$F$4)-SIN(PI()*E9/$F$3)*SIN(PI()*F9/$F$4))</f>
        <v>0.54831135561607536</v>
      </c>
      <c r="AA9">
        <f>(PI()/$F$3)^2*(-SIN(PI()*E9/$F$3))</f>
        <v>-0.27415567780803768</v>
      </c>
      <c r="AB9">
        <f>(PI()/$F$4)^2*(-SIN(PI()*F9/$F$4))</f>
        <v>0</v>
      </c>
      <c r="AD9" s="2">
        <f t="shared" ref="AD9:AD21" si="0">$R$2*($S$7*R9+$V$7*U9+$Y$7*X9+$AB$7*AA9)*1000+$R$2*$R$3*($S$7*S9+$V$7*V9+$Y$7*Y9+$AB$7*AB9)*1000</f>
        <v>-29.663926374617454</v>
      </c>
    </row>
    <row r="10" spans="5:33" x14ac:dyDescent="0.25">
      <c r="E10">
        <v>3</v>
      </c>
      <c r="F10">
        <v>0.5</v>
      </c>
      <c r="G10">
        <f t="shared" ref="G10:G21" si="1">1.20258137079015*SIN(0.523598775598299*E10)^2 + 0.300645342697539*SIN(0.523598775598299*E10)*SIN(0.523598775598299*F10) - 0.601290685395077</f>
        <v>0.67910342590657025</v>
      </c>
      <c r="H10">
        <f t="shared" ref="H10:H21" si="2">(PI()/$F$3)^4*(-8*COS(2*PI()*E10/$F$3)+SIN(PI()*E10/$F$3)*SIN(PI()*F10/$F$4))+(PI()/$F$4)^4*SIN(PI()*E10/$F$3)*SIN(PI()*F10/$F$4)+2*(PI()/$F$3)^2*(PI()/$F$4)^2*SIN(PI()*E10/$F$3)*SIN(PI()*F10/$F$4)</f>
        <v>0.67910342590657335</v>
      </c>
      <c r="J10">
        <f t="shared" ref="J10:J21" si="3">0.300645342697539*SIN(0.523598775598299*E10)*SIN(0.523598775598299*F10) + 1.20258137079015*SIN(0.523598775598299*F10)^2 - 0.601290685395077</f>
        <v>-0.4429202680995965</v>
      </c>
      <c r="L10">
        <f t="shared" ref="L10:L21" si="4">1.87903339185962*SIN(0.523598775598299*E10)^2*SIN(0.523598775598299*F10) + 1.87903339185962*SIN(0.523598775598299*E10)*SIN(0.523598775598299*F10)^2 - 0.901936028092615*SIN(0.523598775598299*E10) - 0.901936028092615*SIN(0.523598775598299*F10)</f>
        <v>-0.5231732514552736</v>
      </c>
      <c r="M10">
        <f t="shared" ref="M10:M21" si="5">(PI()/$F$3)^4*SIN(PI()*F10/$F$4)*(-8*COS(2*PI()*E10/$F$3)+SIN(PI()*E10/$F$3)*SIN(PI()*F10/$F$4))+(PI()/$F$4)^4*SIN(PI()*E10/$F$3)*(-8*COS(2*PI()*F10/$F$4)+SIN(PI()*F10/$F$4)*SIN(PI()*E10/$F$3))+2*(PI()/$F$3)^2*(PI()/$F$4)^2*(-2*COS(2*PI()*E10/$F$3)*SIN(PI()*F10/$F$4)-2*COS(2*PI()*F10/$F$4)*SIN(PI()*E10/$F$3))</f>
        <v>-0.52317325145527549</v>
      </c>
      <c r="O10">
        <f t="shared" ref="O10:O21" si="6">(0.601290685395078*SIN(0.523598775598299*E10)^2*SIN(0.523598775598299*F10) + 0.0751613356743847*SIN(0.523598775598299*E10)*SIN(0.523598775598299*F10)^2 - 0.601290685395078*SIN(0.523598775598299*F10)*COS(0.523598775598299*E10)^2)</f>
        <v>0.16066033582199335</v>
      </c>
      <c r="P10">
        <f t="shared" ref="P10:P21" si="7">(PI()/$F$3)^4*SIN(PI()*F10/$F$4)*(-8*COS(2*PI()*E10/$F$3)+SIN(PI()*E10/$F$3)*SIN(PI()*F10/$F$4))</f>
        <v>0.16066033582199285</v>
      </c>
      <c r="R10">
        <f t="shared" ref="R10:R21" si="8">(PI()/$F$3)^2*SIN(PI()*F10/$F$4)*(2*COS(2*PI()*E10/$F$3)-SIN(PI()*E10/$F$3)*SIN(PI()*F10/$F$4))</f>
        <v>-0.16027836959668898</v>
      </c>
      <c r="S10">
        <f t="shared" ref="S10:S21" si="9">(PI()/$F$4)^2*SIN(PI()*E10/$F$3)*(2*COS(2*PI()*F10/$F$4)-SIN(PI()*F10/$F$4)*SIN(PI()*E10/$F$3))</f>
        <v>0.403894852407294</v>
      </c>
      <c r="U10">
        <f t="shared" ref="U10:U21" si="10">(PI()/$F$3)^2*(2*COS(2*PI()*E10/$F$3)-SIN(PI()*E10/$F$3)*SIN(PI()*F10/$F$4))</f>
        <v>-0.61926806635578602</v>
      </c>
      <c r="V10">
        <f t="shared" ref="V10:V21" si="11">(PI()/$F$4)^2*(-SIN(PI()*F10/$F$4)*SIN(PI()*E10/$F$3))</f>
        <v>-7.0956710739710646E-2</v>
      </c>
      <c r="X10">
        <f t="shared" ref="X10:X21" si="12">(PI()/$F$3)^2*(-SIN(PI()*F10/$F$4)*SIN(PI()*E10/$F$3))</f>
        <v>-7.0956710739710646E-2</v>
      </c>
      <c r="Y10">
        <f t="shared" ref="Y10:Y21" si="13">(PI()/$F$4)^2*(2*COS(2*PI()*F10/$F$4)-SIN(PI()*E10/$F$3)*SIN(PI()*F10/$F$4))</f>
        <v>0.403894852407294</v>
      </c>
      <c r="AA10">
        <f t="shared" ref="AA10:AA21" si="14">(PI()/$F$3)^2*(-SIN(PI()*E10/$F$3))</f>
        <v>-0.27415567780803768</v>
      </c>
      <c r="AB10">
        <f t="shared" ref="AB10:AB21" si="15">(PI()/$F$4)^2*(-SIN(PI()*F10/$F$4))</f>
        <v>-7.0956710739710646E-2</v>
      </c>
      <c r="AD10" s="2">
        <f t="shared" si="0"/>
        <v>-30.453468376237375</v>
      </c>
    </row>
    <row r="11" spans="5:33" x14ac:dyDescent="0.25">
      <c r="E11">
        <v>3</v>
      </c>
      <c r="F11">
        <v>1</v>
      </c>
      <c r="G11">
        <f t="shared" si="1"/>
        <v>0.75161335674384255</v>
      </c>
      <c r="H11">
        <f t="shared" si="2"/>
        <v>0.75161335674384555</v>
      </c>
      <c r="J11">
        <f t="shared" si="3"/>
        <v>-0.15032267134876987</v>
      </c>
      <c r="L11">
        <f t="shared" si="4"/>
        <v>5.6371001755792904E-2</v>
      </c>
      <c r="M11">
        <f t="shared" si="5"/>
        <v>5.6371001755788248E-2</v>
      </c>
      <c r="O11">
        <f t="shared" si="6"/>
        <v>0.31943567661613526</v>
      </c>
      <c r="P11">
        <f t="shared" si="7"/>
        <v>0.31943567661613431</v>
      </c>
      <c r="R11">
        <f t="shared" si="8"/>
        <v>-0.34269459726004703</v>
      </c>
      <c r="S11">
        <f t="shared" si="9"/>
        <v>0.13707783890401889</v>
      </c>
      <c r="U11">
        <f t="shared" si="10"/>
        <v>-0.68538919452009417</v>
      </c>
      <c r="V11">
        <f t="shared" si="11"/>
        <v>-0.13707783890401881</v>
      </c>
      <c r="X11">
        <f t="shared" si="12"/>
        <v>-0.13707783890401881</v>
      </c>
      <c r="Y11">
        <f t="shared" si="13"/>
        <v>0.13707783890401889</v>
      </c>
      <c r="AA11">
        <f t="shared" si="14"/>
        <v>-0.27415567780803768</v>
      </c>
      <c r="AB11">
        <f t="shared" si="15"/>
        <v>-0.13707783890401881</v>
      </c>
      <c r="AD11" s="2">
        <f t="shared" si="0"/>
        <v>-31.080678193353535</v>
      </c>
    </row>
    <row r="12" spans="5:33" x14ac:dyDescent="0.25">
      <c r="E12">
        <v>3</v>
      </c>
      <c r="F12">
        <v>1.5</v>
      </c>
      <c r="G12">
        <f t="shared" si="1"/>
        <v>0.81387904594865645</v>
      </c>
      <c r="H12">
        <f t="shared" si="2"/>
        <v>0.81387904594865923</v>
      </c>
      <c r="J12">
        <f t="shared" si="3"/>
        <v>0.21258836055358155</v>
      </c>
      <c r="L12">
        <f t="shared" si="4"/>
        <v>0.72849283963634381</v>
      </c>
      <c r="M12">
        <f t="shared" si="5"/>
        <v>0.72849283963633615</v>
      </c>
      <c r="O12">
        <f t="shared" si="6"/>
        <v>0.46275738894435908</v>
      </c>
      <c r="P12">
        <f t="shared" si="7"/>
        <v>0.46275738894435775</v>
      </c>
      <c r="R12">
        <f t="shared" si="8"/>
        <v>-0.52479251666173421</v>
      </c>
      <c r="S12">
        <f t="shared" si="9"/>
        <v>-0.19385733887885767</v>
      </c>
      <c r="U12">
        <f t="shared" si="10"/>
        <v>-0.74216869449493306</v>
      </c>
      <c r="V12">
        <f t="shared" si="11"/>
        <v>-0.1938573388788577</v>
      </c>
      <c r="X12">
        <f t="shared" si="12"/>
        <v>-0.1938573388788577</v>
      </c>
      <c r="Y12">
        <f t="shared" si="13"/>
        <v>-0.19385733887885767</v>
      </c>
      <c r="AA12">
        <f t="shared" si="14"/>
        <v>-0.27415567780803768</v>
      </c>
      <c r="AB12">
        <f t="shared" si="15"/>
        <v>-0.1938573388788577</v>
      </c>
      <c r="AD12" s="2">
        <f t="shared" si="0"/>
        <v>-31.535720411468745</v>
      </c>
    </row>
    <row r="13" spans="5:33" x14ac:dyDescent="0.25">
      <c r="E13">
        <v>3</v>
      </c>
      <c r="F13">
        <v>2</v>
      </c>
      <c r="G13">
        <f t="shared" si="1"/>
        <v>0.86165718970062022</v>
      </c>
      <c r="H13">
        <f t="shared" si="2"/>
        <v>0.86165718970062299</v>
      </c>
      <c r="J13">
        <f t="shared" si="3"/>
        <v>0.56101184700308315</v>
      </c>
      <c r="L13">
        <f t="shared" si="4"/>
        <v>1.3535301547951322</v>
      </c>
      <c r="M13">
        <f t="shared" si="5"/>
        <v>1.3535301547951217</v>
      </c>
      <c r="O13">
        <f t="shared" si="6"/>
        <v>0.57710401036688297</v>
      </c>
      <c r="P13">
        <f t="shared" si="7"/>
        <v>0.57710401036688141</v>
      </c>
      <c r="R13">
        <f t="shared" si="8"/>
        <v>-0.68046832150303271</v>
      </c>
      <c r="S13">
        <f t="shared" si="9"/>
        <v>-0.51158145938153987</v>
      </c>
      <c r="U13">
        <f t="shared" si="10"/>
        <v>-0.78573713718957761</v>
      </c>
      <c r="V13">
        <f t="shared" si="11"/>
        <v>-0.23742578157350228</v>
      </c>
      <c r="X13">
        <f t="shared" si="12"/>
        <v>-0.23742578157350228</v>
      </c>
      <c r="Y13">
        <f t="shared" si="13"/>
        <v>-0.51158145938153987</v>
      </c>
      <c r="AA13">
        <f t="shared" si="14"/>
        <v>-0.27415567780803768</v>
      </c>
      <c r="AB13">
        <f t="shared" si="15"/>
        <v>-0.23742578157350228</v>
      </c>
      <c r="AD13" s="2">
        <f t="shared" si="0"/>
        <v>-31.832537680099996</v>
      </c>
    </row>
    <row r="14" spans="5:33" x14ac:dyDescent="0.25">
      <c r="E14">
        <v>3</v>
      </c>
      <c r="F14">
        <v>2.5</v>
      </c>
      <c r="G14">
        <f t="shared" si="1"/>
        <v>0.89169178646015346</v>
      </c>
      <c r="H14">
        <f t="shared" si="2"/>
        <v>0.89169178646015612</v>
      </c>
      <c r="J14">
        <f t="shared" si="3"/>
        <v>0.81113410967617061</v>
      </c>
      <c r="L14">
        <f t="shared" si="4"/>
        <v>1.7950295722535459</v>
      </c>
      <c r="M14">
        <f t="shared" si="5"/>
        <v>1.7950295722535339</v>
      </c>
      <c r="O14">
        <f t="shared" si="6"/>
        <v>0.65092868300554674</v>
      </c>
      <c r="P14">
        <f t="shared" si="7"/>
        <v>0.65092868300554496</v>
      </c>
      <c r="R14">
        <f t="shared" si="8"/>
        <v>-0.78541882892790671</v>
      </c>
      <c r="S14">
        <f t="shared" si="9"/>
        <v>-0.73966561276557308</v>
      </c>
      <c r="U14">
        <f t="shared" si="10"/>
        <v>-0.81312540523464372</v>
      </c>
      <c r="V14">
        <f t="shared" si="11"/>
        <v>-0.26481404961856836</v>
      </c>
      <c r="X14">
        <f t="shared" si="12"/>
        <v>-0.26481404961856836</v>
      </c>
      <c r="Y14">
        <f t="shared" si="13"/>
        <v>-0.73966561276557308</v>
      </c>
      <c r="AA14">
        <f t="shared" si="14"/>
        <v>-0.27415567780803768</v>
      </c>
      <c r="AB14">
        <f t="shared" si="15"/>
        <v>-0.26481404961856836</v>
      </c>
      <c r="AD14" s="2">
        <f t="shared" si="0"/>
        <v>-31.995855417592526</v>
      </c>
    </row>
    <row r="15" spans="5:33" x14ac:dyDescent="0.25">
      <c r="E15">
        <v>3</v>
      </c>
      <c r="F15">
        <v>3</v>
      </c>
      <c r="G15">
        <f t="shared" si="1"/>
        <v>0.90193602809261209</v>
      </c>
      <c r="H15">
        <f t="shared" si="2"/>
        <v>0.90193602809261464</v>
      </c>
      <c r="J15">
        <f t="shared" si="3"/>
        <v>0.90193602809261209</v>
      </c>
      <c r="L15">
        <f t="shared" si="4"/>
        <v>1.9541947275340101</v>
      </c>
      <c r="M15">
        <f t="shared" si="5"/>
        <v>1.9541947275339986</v>
      </c>
      <c r="O15">
        <f t="shared" si="6"/>
        <v>0.67645202106946267</v>
      </c>
      <c r="P15">
        <f t="shared" si="7"/>
        <v>0.67645202106946101</v>
      </c>
      <c r="R15">
        <f t="shared" si="8"/>
        <v>-0.82246703342411309</v>
      </c>
      <c r="S15">
        <f t="shared" si="9"/>
        <v>-0.82246703342411309</v>
      </c>
      <c r="U15">
        <f t="shared" si="10"/>
        <v>-0.82246703342411309</v>
      </c>
      <c r="V15">
        <f t="shared" si="11"/>
        <v>-0.27415567780803768</v>
      </c>
      <c r="X15">
        <f t="shared" si="12"/>
        <v>-0.27415567780803768</v>
      </c>
      <c r="Y15">
        <f t="shared" si="13"/>
        <v>-0.82246703342411309</v>
      </c>
      <c r="AA15">
        <f t="shared" si="14"/>
        <v>-0.27415567780803768</v>
      </c>
      <c r="AB15">
        <f t="shared" si="15"/>
        <v>-0.27415567780803768</v>
      </c>
      <c r="AD15" s="2">
        <f>$R$2*($S$7*R15+$V$7*U15+$Y$7*X15+$AB$7*AA15)*1000+$R$2*$R$3*($S$7*S15+$V$7*V15+$Y$7*Y15+$AB$7*AB15)*1000</f>
        <v>-32.047451688057585</v>
      </c>
      <c r="AF15">
        <f>-6.75089516710389E-06*(SIN(0.523598775598299*E15) + SIN(0.523598775598299*F15))*SIN(0.523598775598299*E15)*SIN(0.523598775598299*F15) + 0.000074095767471427*(SIN(0.523598775598299*E15) + SIN(0.523598775598299*F15))*SIN(0.523598775598299*E15) - 6.75089516710389E-06*SIN(0.523598775598299*E15)^2*SIN(0.523598775598299*F15) + 0.000074095767471427*SIN(0.523598775598299*E15)^2 + 0.0000740957674714271*SIN(0.523598775598299*E15)*SIN(0.523598775598299*F15) - 0.00167456463977678*SIN(0.523598775598299*E15) + 0.0000135017903342078*SIN(0.523598775598299*F15)*COS(0.523598775598299*E15)^2 - 0.000148191534942854*COS(0.523598775598299*E15)^2</f>
        <v>-1.3984342553923837E-3</v>
      </c>
      <c r="AG15">
        <f>-6.75089516710389E-06*(SIN(0.523598775598299*E15) + SIN(0.523598775598299*F15))*SIN(0.523598775598299*E15)*SIN(0.523598775598299*F15) + 0.0000740957674714271*(SIN(0.523598775598299*E15) + SIN(0.523598775598299*F15))*SIN(0.523598775598299*F15) - 6.75089516710389E-06*SIN(0.523598775598299*E15)*SIN(0.523598775598299*F15)^2 + 0.000074095767471427*SIN(0.523598775598299*E15)*SIN(0.523598775598299*F15) + 0.0000135017903342078*SIN(0.523598775598299*E15)*COS(0.523598775598299*F15)^2 + 0.0000740957674714271*SIN(0.523598775598299*F15)^2 - 0.00167456463977678*SIN(0.523598775598299*F15) - 0.000148191534942854*COS(0.523598775598299*F15)^2</f>
        <v>-1.3984342553923835E-3</v>
      </c>
    </row>
    <row r="16" spans="5:33" x14ac:dyDescent="0.25">
      <c r="E16">
        <v>3</v>
      </c>
      <c r="F16">
        <v>3.5</v>
      </c>
      <c r="G16">
        <f t="shared" si="1"/>
        <v>0.89169178646015346</v>
      </c>
      <c r="H16">
        <f t="shared" si="2"/>
        <v>0.89169178646015612</v>
      </c>
      <c r="J16">
        <f t="shared" si="3"/>
        <v>0.81113410967616995</v>
      </c>
      <c r="L16">
        <f t="shared" si="4"/>
        <v>1.7950295722535448</v>
      </c>
      <c r="M16">
        <f t="shared" si="5"/>
        <v>1.7950295722535343</v>
      </c>
      <c r="O16">
        <f t="shared" si="6"/>
        <v>0.65092868300554663</v>
      </c>
      <c r="P16">
        <f t="shared" si="7"/>
        <v>0.65092868300554496</v>
      </c>
      <c r="R16">
        <f t="shared" si="8"/>
        <v>-0.78541882892790671</v>
      </c>
      <c r="S16">
        <f t="shared" si="9"/>
        <v>-0.73966561276557308</v>
      </c>
      <c r="U16">
        <f t="shared" si="10"/>
        <v>-0.81312540523464372</v>
      </c>
      <c r="V16">
        <f t="shared" si="11"/>
        <v>-0.26481404961856836</v>
      </c>
      <c r="X16">
        <f t="shared" si="12"/>
        <v>-0.26481404961856836</v>
      </c>
      <c r="Y16">
        <f t="shared" si="13"/>
        <v>-0.73966561276557308</v>
      </c>
      <c r="AA16">
        <f t="shared" si="14"/>
        <v>-0.27415567780803768</v>
      </c>
      <c r="AB16">
        <f t="shared" si="15"/>
        <v>-0.26481404961856836</v>
      </c>
      <c r="AD16" s="2">
        <f t="shared" si="0"/>
        <v>-31.995855417592526</v>
      </c>
      <c r="AF16" s="3">
        <f>S7*R15+V7*U15+Y7*X15+AB7*AA15</f>
        <v>-1.398434255478876E-3</v>
      </c>
      <c r="AG16" s="3">
        <f>S7*S15+V7*V15+Y7*Y15+AB7*AB15</f>
        <v>-1.398434255478876E-3</v>
      </c>
    </row>
    <row r="17" spans="3:30" x14ac:dyDescent="0.25">
      <c r="E17">
        <v>3</v>
      </c>
      <c r="F17">
        <v>4</v>
      </c>
      <c r="G17">
        <f t="shared" si="1"/>
        <v>0.86165718970062</v>
      </c>
      <c r="H17">
        <f t="shared" si="2"/>
        <v>0.86165718970062299</v>
      </c>
      <c r="J17">
        <f t="shared" si="3"/>
        <v>0.56101184700308182</v>
      </c>
      <c r="L17">
        <f t="shared" si="4"/>
        <v>1.3535301547951295</v>
      </c>
      <c r="M17">
        <f t="shared" si="5"/>
        <v>1.3535301547951224</v>
      </c>
      <c r="O17">
        <f t="shared" si="6"/>
        <v>0.57710401036688252</v>
      </c>
      <c r="P17">
        <f t="shared" si="7"/>
        <v>0.57710401036688141</v>
      </c>
      <c r="R17">
        <f t="shared" si="8"/>
        <v>-0.68046832150303294</v>
      </c>
      <c r="S17">
        <f t="shared" si="9"/>
        <v>-0.51158145938154032</v>
      </c>
      <c r="U17">
        <f t="shared" si="10"/>
        <v>-0.78573713718957772</v>
      </c>
      <c r="V17">
        <f t="shared" si="11"/>
        <v>-0.2374257815735023</v>
      </c>
      <c r="X17">
        <f t="shared" si="12"/>
        <v>-0.2374257815735023</v>
      </c>
      <c r="Y17">
        <f t="shared" si="13"/>
        <v>-0.51158145938154032</v>
      </c>
      <c r="AA17">
        <f t="shared" si="14"/>
        <v>-0.27415567780803768</v>
      </c>
      <c r="AB17">
        <f t="shared" si="15"/>
        <v>-0.2374257815735023</v>
      </c>
      <c r="AD17" s="2">
        <f t="shared" si="0"/>
        <v>-31.832537680099996</v>
      </c>
    </row>
    <row r="18" spans="3:30" x14ac:dyDescent="0.25">
      <c r="E18">
        <v>3</v>
      </c>
      <c r="F18">
        <v>4.5</v>
      </c>
      <c r="G18">
        <f t="shared" si="1"/>
        <v>0.81387904594865623</v>
      </c>
      <c r="H18">
        <f t="shared" si="2"/>
        <v>0.81387904594865923</v>
      </c>
      <c r="J18">
        <f t="shared" si="3"/>
        <v>0.21258836055357999</v>
      </c>
      <c r="L18">
        <f t="shared" si="4"/>
        <v>0.72849283963634093</v>
      </c>
      <c r="M18">
        <f t="shared" si="5"/>
        <v>0.72849283963633649</v>
      </c>
      <c r="O18">
        <f t="shared" si="6"/>
        <v>0.46275738894435853</v>
      </c>
      <c r="P18">
        <f t="shared" si="7"/>
        <v>0.46275738894435786</v>
      </c>
      <c r="R18">
        <f t="shared" si="8"/>
        <v>-0.52479251666173432</v>
      </c>
      <c r="S18">
        <f t="shared" si="9"/>
        <v>-0.19385733887885784</v>
      </c>
      <c r="U18">
        <f t="shared" si="10"/>
        <v>-0.74216869449493306</v>
      </c>
      <c r="V18">
        <f t="shared" si="11"/>
        <v>-0.19385733887885773</v>
      </c>
      <c r="X18">
        <f t="shared" si="12"/>
        <v>-0.19385733887885773</v>
      </c>
      <c r="Y18">
        <f t="shared" si="13"/>
        <v>-0.19385733887885784</v>
      </c>
      <c r="AA18">
        <f t="shared" si="14"/>
        <v>-0.27415567780803768</v>
      </c>
      <c r="AB18">
        <f t="shared" si="15"/>
        <v>-0.19385733887885773</v>
      </c>
      <c r="AD18" s="2">
        <f t="shared" si="0"/>
        <v>-31.535720411468745</v>
      </c>
    </row>
    <row r="19" spans="3:30" x14ac:dyDescent="0.25">
      <c r="E19">
        <v>3</v>
      </c>
      <c r="F19">
        <v>5</v>
      </c>
      <c r="G19">
        <f t="shared" si="1"/>
        <v>0.75161335674384233</v>
      </c>
      <c r="H19">
        <f t="shared" si="2"/>
        <v>0.75161335674384555</v>
      </c>
      <c r="J19">
        <f t="shared" si="3"/>
        <v>-0.15032267134877125</v>
      </c>
      <c r="L19">
        <f t="shared" si="4"/>
        <v>5.637100175579024E-2</v>
      </c>
      <c r="M19">
        <f t="shared" si="5"/>
        <v>5.6371001755788248E-2</v>
      </c>
      <c r="O19">
        <f t="shared" si="6"/>
        <v>0.31943567661613465</v>
      </c>
      <c r="P19">
        <f t="shared" si="7"/>
        <v>0.31943567661613431</v>
      </c>
      <c r="R19">
        <f t="shared" si="8"/>
        <v>-0.34269459726004703</v>
      </c>
      <c r="S19">
        <f t="shared" si="9"/>
        <v>0.13707783890401889</v>
      </c>
      <c r="U19">
        <f t="shared" si="10"/>
        <v>-0.68538919452009417</v>
      </c>
      <c r="V19">
        <f t="shared" si="11"/>
        <v>-0.13707783890401881</v>
      </c>
      <c r="X19">
        <f t="shared" si="12"/>
        <v>-0.13707783890401881</v>
      </c>
      <c r="Y19">
        <f t="shared" si="13"/>
        <v>0.13707783890401889</v>
      </c>
      <c r="AA19">
        <f t="shared" si="14"/>
        <v>-0.27415567780803768</v>
      </c>
      <c r="AB19">
        <f t="shared" si="15"/>
        <v>-0.13707783890401881</v>
      </c>
      <c r="AD19" s="2">
        <f t="shared" si="0"/>
        <v>-31.080678193353535</v>
      </c>
    </row>
    <row r="20" spans="3:30" x14ac:dyDescent="0.25">
      <c r="E20">
        <v>3</v>
      </c>
      <c r="F20">
        <v>5.5</v>
      </c>
      <c r="G20">
        <f t="shared" si="1"/>
        <v>0.6791034259065698</v>
      </c>
      <c r="H20">
        <f t="shared" si="2"/>
        <v>0.67910342590657358</v>
      </c>
      <c r="J20">
        <f t="shared" si="3"/>
        <v>-0.4429202680995975</v>
      </c>
      <c r="L20">
        <f t="shared" si="4"/>
        <v>-0.52317325145527571</v>
      </c>
      <c r="M20">
        <f t="shared" si="5"/>
        <v>-0.52317325145527493</v>
      </c>
      <c r="O20">
        <f t="shared" si="6"/>
        <v>0.16066033582199263</v>
      </c>
      <c r="P20">
        <f t="shared" si="7"/>
        <v>0.16066033582199304</v>
      </c>
      <c r="R20">
        <f t="shared" si="8"/>
        <v>-0.1602783695966892</v>
      </c>
      <c r="S20">
        <f t="shared" si="9"/>
        <v>0.40389485240729373</v>
      </c>
      <c r="U20">
        <f t="shared" si="10"/>
        <v>-0.61926806635578613</v>
      </c>
      <c r="V20">
        <f t="shared" si="11"/>
        <v>-7.0956710739710729E-2</v>
      </c>
      <c r="X20">
        <f t="shared" si="12"/>
        <v>-7.0956710739710729E-2</v>
      </c>
      <c r="Y20">
        <f t="shared" si="13"/>
        <v>0.40389485240729373</v>
      </c>
      <c r="AA20">
        <f t="shared" si="14"/>
        <v>-0.27415567780803768</v>
      </c>
      <c r="AB20">
        <f t="shared" si="15"/>
        <v>-7.0956710739710729E-2</v>
      </c>
      <c r="AD20" s="2">
        <f t="shared" si="0"/>
        <v>-30.453468376237375</v>
      </c>
    </row>
    <row r="21" spans="3:30" x14ac:dyDescent="0.25">
      <c r="E21">
        <v>3</v>
      </c>
      <c r="F21">
        <v>6</v>
      </c>
      <c r="G21">
        <f t="shared" si="1"/>
        <v>0.6012906853950728</v>
      </c>
      <c r="H21">
        <f t="shared" si="2"/>
        <v>0.60129068539507646</v>
      </c>
      <c r="J21">
        <f t="shared" si="3"/>
        <v>-0.60129068539507724</v>
      </c>
      <c r="L21">
        <f t="shared" si="4"/>
        <v>-0.90193602809261575</v>
      </c>
      <c r="M21">
        <f t="shared" si="5"/>
        <v>-0.90193602809261453</v>
      </c>
      <c r="O21">
        <f t="shared" si="6"/>
        <v>-4.6038637531833302E-16</v>
      </c>
      <c r="P21">
        <f t="shared" si="7"/>
        <v>7.3667035416272311E-17</v>
      </c>
      <c r="R21">
        <f t="shared" si="8"/>
        <v>-6.7176281014188564E-17</v>
      </c>
      <c r="S21">
        <f t="shared" si="9"/>
        <v>0.54831135561607525</v>
      </c>
      <c r="U21">
        <f t="shared" si="10"/>
        <v>-0.54831135561607536</v>
      </c>
      <c r="V21">
        <f t="shared" si="11"/>
        <v>-3.3588140507094282E-17</v>
      </c>
      <c r="X21">
        <f t="shared" si="12"/>
        <v>-3.3588140507094282E-17</v>
      </c>
      <c r="Y21">
        <f t="shared" si="13"/>
        <v>0.54831135561607525</v>
      </c>
      <c r="AA21">
        <f t="shared" si="14"/>
        <v>-0.27415567780803768</v>
      </c>
      <c r="AB21">
        <f t="shared" si="15"/>
        <v>-3.3588140507094282E-17</v>
      </c>
      <c r="AD21" s="2">
        <f t="shared" si="0"/>
        <v>-29.663926374617454</v>
      </c>
    </row>
    <row r="27" spans="3:30" x14ac:dyDescent="0.25">
      <c r="C27" s="1"/>
    </row>
    <row r="28" spans="3:30" x14ac:dyDescent="0.25">
      <c r="C28" s="1"/>
    </row>
  </sheetData>
  <mergeCells count="1">
    <mergeCell ref="R1:A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Афанасьева Елена Олеговна</dc:creator>
  <cp:lastModifiedBy>Афанасьева Елена Олеговна</cp:lastModifiedBy>
  <dcterms:created xsi:type="dcterms:W3CDTF">2026-04-07T12:21:54Z</dcterms:created>
  <dcterms:modified xsi:type="dcterms:W3CDTF">2026-04-07T17:06:49Z</dcterms:modified>
</cp:coreProperties>
</file>